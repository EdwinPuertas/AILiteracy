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icitudes_ciudadanas" sheetId="1" state="visible" r:id="rId3"/>
    <sheet name="diccionario_datos" sheetId="2" state="visible" r:id="rId4"/>
    <sheet name="ficha_arbol_tot" sheetId="3" state="visible" r:id="rId5"/>
    <sheet name="caso_contextu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<sst xmlns="http://schemas.openxmlformats.org/spreadsheetml/2006/main" count="313" uniqueCount="192">
  <si>
    <t xml:space="preserve">UTB · Taller S5 · Dataset: solicitudes_ciudadanas_sinteticas.xlsx · 25 registros ficticios</t>
  </si>
  <si>
    <t xml:space="preserve">Sesión 5 · Tree of Thoughts · Todos los datos son FICTICIOS · Entidad: Secretaría de Servicios Ciudadanos (ficticia)</t>
  </si>
  <si>
    <t xml:space="preserve">ID Solicitud</t>
  </si>
  <si>
    <t xml:space="preserve">Tipo Solicitud</t>
  </si>
  <si>
    <t xml:space="preserve">Prioridad</t>
  </si>
  <si>
    <t xml:space="preserve">Canal Ingreso</t>
  </si>
  <si>
    <t xml:space="preserve">Fecha Ingreso</t>
  </si>
  <si>
    <t xml:space="preserve">Tiempo Respuesta (días)</t>
  </si>
  <si>
    <t xml:space="preserve">Estado Actual</t>
  </si>
  <si>
    <t xml:space="preserve">Área Responsable</t>
  </si>
  <si>
    <t xml:space="preserve">Nivel Satisfacción (1–5)</t>
  </si>
  <si>
    <t xml:space="preserve">id_solicitud</t>
  </si>
  <si>
    <t xml:space="preserve">tipo_solicitud</t>
  </si>
  <si>
    <t xml:space="preserve">prioridad</t>
  </si>
  <si>
    <t xml:space="preserve">canal_ingreso</t>
  </si>
  <si>
    <t xml:space="preserve">fecha_ingreso</t>
  </si>
  <si>
    <t xml:space="preserve">tiempo_respuesta_dias</t>
  </si>
  <si>
    <t xml:space="preserve">estado_actual</t>
  </si>
  <si>
    <t xml:space="preserve">area_responsable</t>
  </si>
  <si>
    <t xml:space="preserve">nivel_satisfaccion</t>
  </si>
  <si>
    <t xml:space="preserve">SOL-001</t>
  </si>
  <si>
    <t xml:space="preserve">PQRS</t>
  </si>
  <si>
    <t xml:space="preserve">Alta</t>
  </si>
  <si>
    <t xml:space="preserve">App</t>
  </si>
  <si>
    <t xml:space="preserve">Resuelto</t>
  </si>
  <si>
    <t xml:space="preserve">Atención Ciudadana</t>
  </si>
  <si>
    <t xml:space="preserve">SOL-002</t>
  </si>
  <si>
    <t xml:space="preserve">Trámite</t>
  </si>
  <si>
    <t xml:space="preserve">Presencial</t>
  </si>
  <si>
    <t xml:space="preserve">Servicios Sociales</t>
  </si>
  <si>
    <t xml:space="preserve">SOL-003</t>
  </si>
  <si>
    <t xml:space="preserve">Consulta</t>
  </si>
  <si>
    <t xml:space="preserve">Media</t>
  </si>
  <si>
    <t xml:space="preserve">Telefónico</t>
  </si>
  <si>
    <t xml:space="preserve">SOL-004</t>
  </si>
  <si>
    <t xml:space="preserve">Permiso</t>
  </si>
  <si>
    <t xml:space="preserve">Web</t>
  </si>
  <si>
    <t xml:space="preserve">SOL-005</t>
  </si>
  <si>
    <t xml:space="preserve">En proceso</t>
  </si>
  <si>
    <t xml:space="preserve">SOL-006</t>
  </si>
  <si>
    <t xml:space="preserve">Baja</t>
  </si>
  <si>
    <t xml:space="preserve">Correo</t>
  </si>
  <si>
    <t xml:space="preserve">Escalado</t>
  </si>
  <si>
    <t xml:space="preserve">SOL-007</t>
  </si>
  <si>
    <t xml:space="preserve">SOL-008</t>
  </si>
  <si>
    <t xml:space="preserve">SOL-009</t>
  </si>
  <si>
    <t xml:space="preserve">Certificado</t>
  </si>
  <si>
    <t xml:space="preserve">Pendiente</t>
  </si>
  <si>
    <t xml:space="preserve">SOL-010</t>
  </si>
  <si>
    <t xml:space="preserve">Registro Civil</t>
  </si>
  <si>
    <t xml:space="preserve">SOL-011</t>
  </si>
  <si>
    <t xml:space="preserve">Gestión Tributaria</t>
  </si>
  <si>
    <t xml:space="preserve">SOL-012</t>
  </si>
  <si>
    <t xml:space="preserve">SOL-013</t>
  </si>
  <si>
    <t xml:space="preserve">SOL-014</t>
  </si>
  <si>
    <t xml:space="preserve">SOL-015</t>
  </si>
  <si>
    <t xml:space="preserve">SOL-016</t>
  </si>
  <si>
    <t xml:space="preserve">SOL-017</t>
  </si>
  <si>
    <t xml:space="preserve">SOL-018</t>
  </si>
  <si>
    <t xml:space="preserve">SOL-019</t>
  </si>
  <si>
    <t xml:space="preserve">SOL-020</t>
  </si>
  <si>
    <t xml:space="preserve">SOL-021</t>
  </si>
  <si>
    <t xml:space="preserve">Permisos y Licencias</t>
  </si>
  <si>
    <t xml:space="preserve">SOL-022</t>
  </si>
  <si>
    <t xml:space="preserve">SOL-023</t>
  </si>
  <si>
    <t xml:space="preserve">SOL-024</t>
  </si>
  <si>
    <t xml:space="preserve">SOL-025</t>
  </si>
  <si>
    <t xml:space="preserve">ESTADÍSTICAS RESUMEN</t>
  </si>
  <si>
    <t xml:space="preserve">Tiempo promedio de respuesta (días)</t>
  </si>
  <si>
    <t xml:space="preserve">Solicitudes fuera del plazo (&gt;15 días)</t>
  </si>
  <si>
    <t xml:space="preserve">Solicitudes resueltas</t>
  </si>
  <si>
    <t xml:space="preserve">NPS promedio</t>
  </si>
  <si>
    <t xml:space="preserve">Solicitudes de alta prioridad</t>
  </si>
  <si>
    <t xml:space="preserve">Solicitudes pendientes</t>
  </si>
  <si>
    <t xml:space="preserve">UTB · Diccionario de Datos: solicitudes_ciudadanas_sinteticas.xlsx</t>
  </si>
  <si>
    <t xml:space="preserve">Sesión 5 · Tree of Thoughts · Referencia para construir prompts ToT con el dataset</t>
  </si>
  <si>
    <t xml:space="preserve">Campo (nombre técnico)</t>
  </si>
  <si>
    <t xml:space="preserve">Tipo de dato</t>
  </si>
  <si>
    <t xml:space="preserve">Valores / Rango</t>
  </si>
  <si>
    <t xml:space="preserve">Descripción del campo</t>
  </si>
  <si>
    <t xml:space="preserve">Uso en el taller ToT</t>
  </si>
  <si>
    <t xml:space="preserve">Ejemplo de pregunta ToT</t>
  </si>
  <si>
    <t xml:space="preserve">Nivel de análisis</t>
  </si>
  <si>
    <t xml:space="preserve">Texto</t>
  </si>
  <si>
    <t xml:space="preserve">SOL-001 a SOL-025</t>
  </si>
  <si>
    <t xml:space="preserve">ID único ficticio de cada solicitud. No corresponde a solicitudes reales.</t>
  </si>
  <si>
    <t xml:space="preserve">Referencia para identificar casos críticos en el árbol ToT.</t>
  </si>
  <si>
    <t xml:space="preserve">¿Qué solicitudes de alta prioridad llevan más de 15 días sin resolverse?</t>
  </si>
  <si>
    <t xml:space="preserve">Operacional</t>
  </si>
  <si>
    <t xml:space="preserve">Categórico</t>
  </si>
  <si>
    <t xml:space="preserve">PQRS, Certificado, Permiso, Trámite, Consulta</t>
  </si>
  <si>
    <t xml:space="preserve">Clasifica el tipo de trámite ciudadano. PQRS (Petición, Queja, Reclamo, Sugerencia) es el tipo más crítico.</t>
  </si>
  <si>
    <t xml:space="preserve">Identificar qué tipos de solicitud tienen mayor incumplimiento de plazos.</t>
  </si>
  <si>
    <t xml:space="preserve">¿Qué estrategias ToT son más adecuadas para reducir tiempos en solicitudes de tipo PQRS?</t>
  </si>
  <si>
    <t xml:space="preserve">Segmentación</t>
  </si>
  <si>
    <t xml:space="preserve">Alta, Media, Baja</t>
  </si>
  <si>
    <t xml:space="preserve">Nivel de urgencia institucional asignado. Alta: plazo legal exige respuesta en 10 días. Media: 20 días. Baja: 30 días.</t>
  </si>
  <si>
    <t xml:space="preserve">Variable clave para priorizar ramas del árbol: comenzar por solicitudes de Alta prioridad.</t>
  </si>
  <si>
    <t xml:space="preserve">Genera 3 estrategias alternativas para resolver el cuello de botella en solicitudes de prioridad Alta.</t>
  </si>
  <si>
    <t xml:space="preserve">Presencial, Web, App, Telefónico, Correo</t>
  </si>
  <si>
    <t xml:space="preserve">Canal por el que llegó la solicitud a la entidad. Impacta el tiempo de procesamiento y la satisfacción.</t>
  </si>
  <si>
    <t xml:space="preserve">Analizar qué canales concentran más solicitudes fuera de plazo para enfocar la automatización.</t>
  </si>
  <si>
    <t xml:space="preserve">¿Qué rama del árbol resolvería mejor el problema de solicitudes web con respuesta tardía?</t>
  </si>
  <si>
    <t xml:space="preserve">Fecha</t>
  </si>
  <si>
    <t xml:space="preserve">01/01/2024 – 30/04/2024</t>
  </si>
  <si>
    <t xml:space="preserve">Fecha en que se radicó la solicitud. Permite calcular tiempos reales y detectar patrones estacionales.</t>
  </si>
  <si>
    <t xml:space="preserve">Analizar si hay meses con mayor incumplimiento. Útil para detectar cuellos de botella temporales.</t>
  </si>
  <si>
    <t xml:space="preserve">¿En qué período del trimestre se concentran más solicitudes fuera de plazo?</t>
  </si>
  <si>
    <t xml:space="preserve">Temporal</t>
  </si>
  <si>
    <t xml:space="preserve">Entero (1–45)</t>
  </si>
  <si>
    <t xml:space="preserve">1 – 45 días hábiles</t>
  </si>
  <si>
    <t xml:space="preserve">Días que tomó dar respuesta a la solicitud. El plazo legal para PQRS en Colombia es 15 días hábiles.</t>
  </si>
  <si>
    <t xml:space="preserve">Variable objetivo para el taller: identificar el problema de tiempos y diseñar ramas de solución.</t>
  </si>
  <si>
    <t xml:space="preserve">Genera un árbol de alternativas para reducir el tiempo promedio de respuesta de 21 a menos de 15 días.</t>
  </si>
  <si>
    <t xml:space="preserve">Cuantitativo</t>
  </si>
  <si>
    <t xml:space="preserve">Resuelto, En proceso, Escalado, Pendiente</t>
  </si>
  <si>
    <t xml:space="preserve">Estado de gestión de la solicitud al momento del corte. Pendiente y Escalado son estados críticos.</t>
  </si>
  <si>
    <t xml:space="preserve">Analizar qué estados predominan por área responsable para identificar cuellos de botella.</t>
  </si>
  <si>
    <t xml:space="preserve">¿Qué estrategia ToT resolvería el alto porcentaje de solicitudes en estado Pendiente del área X?</t>
  </si>
  <si>
    <t xml:space="preserve">5 áreas ficticias</t>
  </si>
  <si>
    <t xml:space="preserve">Área institucional que gestiona la solicitud. Variable de segmentación clave para identificar áreas críticas.</t>
  </si>
  <si>
    <t xml:space="preserve">Identificar qué área tiene mayor rezago para enfocar la rama de solución más adecuada.</t>
  </si>
  <si>
    <t xml:space="preserve">Genera 3 alternativas para mejorar la gestión del Área de Atención Ciudadana con alto porcentaje de pendientes.</t>
  </si>
  <si>
    <t xml:space="preserve">Entero (1–5)</t>
  </si>
  <si>
    <t xml:space="preserve">1=Muy insatisfecho, 5=Muy satisfecho</t>
  </si>
  <si>
    <t xml:space="preserve">Calificación del ciudadano al cerrar su solicitud. Proxy de calidad del servicio.</t>
  </si>
  <si>
    <t xml:space="preserve">Variable de resultado: evaluar si las estrategias del árbol ToT mejorarían la satisfacción.</t>
  </si>
  <si>
    <t xml:space="preserve">¿Qué rama del árbol tiene mayor potencial de mejorar el NPS de solicitudes de alta prioridad?</t>
  </si>
  <si>
    <t xml:space="preserve">NOTAS SOBRE EL DISEÑO DEL DATASET</t>
  </si>
  <si>
    <t xml:space="preserve">Marco legal de referencia</t>
  </si>
  <si>
    <t xml:space="preserve">En Colombia, la Ley 1437/2011 (CPACA) establece 15 días hábiles para responder PQRS. Los tiempos del dataset reflejan incumplimiento real para motivar el análisis.</t>
  </si>
  <si>
    <t xml:space="preserve">Distribución intencional</t>
  </si>
  <si>
    <t xml:space="preserve">El 40% de solicitudes tienen tiempo &gt; 15 días para representar el problema que el árbol ToT debe resolver.</t>
  </si>
  <si>
    <t xml:space="preserve">Correlación diseñada</t>
  </si>
  <si>
    <t xml:space="preserve">Alta prioridad correlaciona con mayor tiempo y menor NPS — para que el análisis por ramas sea significativo.</t>
  </si>
  <si>
    <t xml:space="preserve">Uso ético</t>
  </si>
  <si>
    <t xml:space="preserve">Todos los datos son ficticios. No corresponden a entidades, funcionarios ni ciudadanos reales de Cartagena ni Colombia.</t>
  </si>
  <si>
    <t xml:space="preserve">UTB · Ficha de Trabajo: Árbol de Alternativas con Tree of Thoughts</t>
  </si>
  <si>
    <t xml:space="preserve">Sesión 5 · Completa esta ficha durante el taller · Bloques 4 y 5</t>
  </si>
  <si>
    <t xml:space="preserve">Nombre: ___________________________________</t>
  </si>
  <si>
    <t xml:space="preserve">Fecha: ___________   Equipo: ___________</t>
  </si>
  <si>
    <t xml:space="preserve">PROBLEMA RAÍZ (basado en el análisis del dataset)</t>
  </si>
  <si>
    <t xml:space="preserve">Describe el problema principal que identificaste en el dataset solicitudes_ciudadanas_sinteticas.xlsx:</t>
  </si>
  <si>
    <t xml:space="preserve">MI PROMPT TOT (4 bloques)</t>
  </si>
  <si>
    <t xml:space="preserve">1 — CONTEXTO</t>
  </si>
  <si>
    <t xml:space="preserve">Hint: Eres... La entidad... El problema es...</t>
  </si>
  <si>
    <t xml:space="preserve">2 — INSTRUCCIÓN DE RAMAS</t>
  </si>
  <si>
    <t xml:space="preserve">Hint: Genera exactamente 3 estrategias alternativas diferentes...</t>
  </si>
  <si>
    <t xml:space="preserve">3 — CRITERIOS Y PESOS</t>
  </si>
  <si>
    <t xml:space="preserve">Hint: Evalúa cada estrategia según viabilidad(%), costo(%), tiempo(%), impacto(%)...</t>
  </si>
  <si>
    <t xml:space="preserve">4 — PODA + SELECCIÓN</t>
  </si>
  <si>
    <t xml:space="preserve">Hint: Descarta las estrategias con puntaje &lt; 3.0... Desarrolla la ganadora con 3 pasos...</t>
  </si>
  <si>
    <t xml:space="preserve">ÁRBOL GENERADO POR LA IA — REGISTRA AQUÍ LAS 3 RAMAS</t>
  </si>
  <si>
    <t xml:space="preserve">Rama</t>
  </si>
  <si>
    <t xml:space="preserve">Nombre/Estrategia</t>
  </si>
  <si>
    <t xml:space="preserve">Descripción breve</t>
  </si>
  <si>
    <t xml:space="preserve">Viabilidad
(1-5)</t>
  </si>
  <si>
    <t xml:space="preserve">Costo
(1-5)</t>
  </si>
  <si>
    <t xml:space="preserve">Tiempo
(1-5)</t>
  </si>
  <si>
    <t xml:space="preserve">Impacto
(1-5)</t>
  </si>
  <si>
    <t xml:space="preserve">Puntaje
Total</t>
  </si>
  <si>
    <t xml:space="preserve">Rama A</t>
  </si>
  <si>
    <t xml:space="preserve">Rama B</t>
  </si>
  <si>
    <t xml:space="preserve">Rama C</t>
  </si>
  <si>
    <t xml:space="preserve">DECISIÓN DE PODA</t>
  </si>
  <si>
    <t xml:space="preserve">Rama podada</t>
  </si>
  <si>
    <t xml:space="preserve">Razón de la poda</t>
  </si>
  <si>
    <t xml:space="preserve">Rama seleccionada</t>
  </si>
  <si>
    <t xml:space="preserve">Justificación</t>
  </si>
  <si>
    <t xml:space="preserve">PLAN DE IMPLEMENTACIÓN DE LA RAMA GANADORA (3 pasos)</t>
  </si>
  <si>
    <t xml:space="preserve">Paso</t>
  </si>
  <si>
    <t xml:space="preserve">Acción principal</t>
  </si>
  <si>
    <t xml:space="preserve">Recursos necesarios</t>
  </si>
  <si>
    <t xml:space="preserve">Plazo</t>
  </si>
  <si>
    <t xml:space="preserve">Responsable</t>
  </si>
  <si>
    <t xml:space="preserve">Paso 1</t>
  </si>
  <si>
    <t xml:space="preserve">Paso 2</t>
  </si>
  <si>
    <t xml:space="preserve">Paso 3</t>
  </si>
  <si>
    <t xml:space="preserve">UTB · Caso: Automatización de PQRS en Secretaría Ciudadana de Cartagena (FICTICIO)</t>
  </si>
  <si>
    <t xml:space="preserve">Lectura contextualizada para el taller · Todos los actores, cifras y entidades son ficticios</t>
  </si>
  <si>
    <t xml:space="preserve">CONTEXTO INSTITUCIONAL (ficticio)</t>
  </si>
  <si>
    <t xml:space="preserve">La Secretaría de Servicios Ciudadanos de Cartagena (ficticia) gestiona anualmente más de 12.000 solicitudes ciudadanas. En 2023, el 62% de las PQRS se respondieron fuera del plazo legal de 15 días hábiles establecido en la Ley 1437/2011 del CPACA colombiano, generando quejas ante la Procuraduría General de la Nación.</t>
  </si>
  <si>
    <t xml:space="preserve">PROBLEMA IDENTIFICADO</t>
  </si>
  <si>
    <t xml:space="preserve">Análisis del dataset reveló que: (1) Las solicitudes de tipo PQRS representan el 40% del volumen pero el 75% del incumplimiento. (2) El canal presencial concentra el 55% de las solicitudes pero solo el 30% del personal. (3) El área de Atención Ciudadana tiene el NPS más bajo (2.3/5.0). (4) El proceso de clasificación y asignación inicial toma 3 días en promedio, consumiendo el 20% del plazo legal.</t>
  </si>
  <si>
    <t xml:space="preserve">ÁRBOL DE ALTERNATIVAS (generado con ToT)</t>
  </si>
  <si>
    <t xml:space="preserve">RAMA A — Automatizar la clasificación inicial con IA
Acción: implementar un clasificador automático que asigne tipo, prioridad y área responsable al ingreso. Herramienta: modelo de ML sobre texto + reglas de negocio.
Viabilidad: 4/5 · Costo: $45M COP · Tiempo: 4 meses · Impacto: reduce el tiempo de clasificación de 3 días a 2 horas.
Puntaje estimado: 3.8/5.0</t>
  </si>
  <si>
    <t xml:space="preserve">RAMA B — Redistribuir cargas entre áreas mediante rotación
Acción: reasignar 3 funcionarios del área de menor carga al área de Atención Ciudadana durante los picos de demanda.
Viabilidad: 3/5 · Costo: $8M COP (horas extra) · Tiempo: 1 mes · Impacto: reduce backlog en 20%.
Puntaje estimado: 2.9/5.0</t>
  </si>
  <si>
    <t xml:space="preserve">RAMA C — Rediseñar el proceso completo con BPM
Acción: implementar un sistema de gestión de procesos de negocio (BPM) con flujos digitales para todas las solicitudes.
Viabilidad: 2/5 · Costo: $180M COP · Tiempo: 18 meses · Impacto: transformación integral.
Puntaje estimado: 1.8/5.0 → PODADA (supera presupuesto y plazo)</t>
  </si>
  <si>
    <t xml:space="preserve">DECISIÓN Y RAMA GANADORA</t>
  </si>
  <si>
    <t xml:space="preserve">Rama A seleccionada: mayor puntaje (3.8/5.0), dentro del presupuesto ($80M COP disponibles) y ejecutable en el plazo de 6 meses. El clasificador automático reduce el tiempo de procesamiento inicial un 83%, liberando capacidad humana para la resolución de fondo.
Plan de implementación:
Paso 1 (Mes 1–2): Levantamiento de requisitos y entrenamiento del clasificador con histórico de solicitudes.
Paso 2 (Mes 3–4): Piloto con el 20% de las solicitudes del canal Web.
Paso 3 (Mes 5–6): Despliegue completo + capacitación del personal + monitoreo de NPS.</t>
  </si>
  <si>
    <t xml:space="preserve">PREGUNTAS DE REFLEXIÓN PARA EL TALLER</t>
  </si>
  <si>
    <t xml:space="preserve">1. ¿El árbol ToT hubiera llegado a la misma decisión si se analizaba solo con CoT lineal?
2. ¿Qué información del dataset fue clave para podar la Rama C?
3. ¿Qué rama explorarías si el presupuesto fuera de $200M COP?
4. ¿Cómo cambiaría el árbol si la restricción principal fuera el tiempo (máximo 2 meses)?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</si>
</sst>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yyyy\-mm\-dd"/>
    <numFmt numFmtId="167" formatCode="0.0"/>
    <numFmt numFmtId="168" formatCode="0"/>
    <numFmt numFmtId="169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E8E9F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AABBDD"/>
      <name val="Calibri"/>
      <family val="0"/>
      <charset val="1"/>
    </font>
    <font>
      <sz val="10"/>
      <color rgb="FF231F20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sz val="10"/>
      <color rgb="FF238241"/>
      <name val="Calibri"/>
      <family val="0"/>
      <charset val="1"/>
    </font>
    <font>
      <sz val="10"/>
      <color rgb="FFD97706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238241"/>
      <name val="Calibri"/>
      <family val="0"/>
      <charset val="1"/>
    </font>
    <font>
      <b val="true"/>
      <sz val="10"/>
      <color rgb="FF303990"/>
      <name val="Calibri"/>
      <family val="0"/>
      <charset val="1"/>
    </font>
    <font>
      <b val="true"/>
      <sz val="9"/>
      <color rgb="FF5560A8"/>
      <name val="Calibri"/>
      <family val="0"/>
      <charset val="1"/>
    </font>
    <font>
      <sz val="9"/>
      <color rgb="FF231F20"/>
      <name val="Calibri"/>
      <family val="0"/>
      <charset val="1"/>
    </font>
    <font>
      <i val="true"/>
      <sz val="9"/>
      <color rgb="FF238241"/>
      <name val="Calibri"/>
      <family val="0"/>
      <charset val="1"/>
    </font>
    <font>
      <i val="true"/>
      <sz val="9"/>
      <color rgb="FF303990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03990"/>
        <bgColor rgb="FF1A3278"/>
      </patternFill>
    </fill>
    <fill>
      <patternFill patternType="solid">
        <fgColor rgb="FF5560A8"/>
        <bgColor rgb="FF64748B"/>
      </patternFill>
    </fill>
    <fill>
      <patternFill patternType="solid">
        <fgColor rgb="FF1A3278"/>
        <bgColor rgb="FF303990"/>
      </patternFill>
    </fill>
    <fill>
      <patternFill patternType="solid">
        <fgColor rgb="FFFFFFFF"/>
        <bgColor rgb="FFF5F5F5"/>
      </patternFill>
    </fill>
    <fill>
      <patternFill patternType="solid">
        <fgColor rgb="FFFEE2E2"/>
        <bgColor rgb="FFE8E9F5"/>
      </patternFill>
    </fill>
    <fill>
      <patternFill patternType="solid">
        <fgColor rgb="FFF5F5F5"/>
        <bgColor rgb="FFE6F4EA"/>
      </patternFill>
    </fill>
    <fill>
      <patternFill patternType="solid">
        <fgColor rgb="FFFEF3C7"/>
        <bgColor rgb="FFFEE2E2"/>
      </patternFill>
    </fill>
    <fill>
      <patternFill patternType="solid">
        <fgColor rgb="FFE8E9F5"/>
        <bgColor rgb="FFE6F4EA"/>
      </patternFill>
    </fill>
    <fill>
      <patternFill patternType="solid">
        <fgColor rgb="FFE6F4EA"/>
        <bgColor rgb="FFF5F5F5"/>
      </patternFill>
    </fill>
    <fill>
      <patternFill patternType="solid">
        <fgColor rgb="FF238241"/>
        <bgColor rgb="FF008080"/>
      </patternFill>
    </fill>
    <fill>
      <patternFill patternType="solid">
        <fgColor rgb="FFDC2626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303990"/>
      </left>
      <right style="thin">
        <color rgb="FF303990"/>
      </right>
      <top style="thin">
        <color rgb="FF303990"/>
      </top>
      <bottom style="thin">
        <color rgb="FF30399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303990"/>
      </left>
      <right/>
      <top style="thin">
        <color rgb="FF303990"/>
      </top>
      <bottom style="thin">
        <color rgb="FF303990"/>
      </bottom>
      <diagonal/>
    </border>
    <border diagonalUp="false" diagonalDown="false">
      <left style="thin">
        <color rgb="FF238241"/>
      </left>
      <right style="thin">
        <color rgb="FF238241"/>
      </right>
      <top style="thin">
        <color rgb="FF238241"/>
      </top>
      <bottom style="thin">
        <color rgb="FF238241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303990"/>
      </left>
      <right/>
      <top style="thin">
        <color rgb="FF303990"/>
      </top>
      <bottom/>
      <diagonal/>
    </border>
    <border diagonalUp="false" diagonalDown="false">
      <left style="thin">
        <color rgb="FF238241"/>
      </left>
      <right/>
      <top style="thin">
        <color rgb="FF238241"/>
      </top>
      <bottom style="thin">
        <color rgb="FF238241"/>
      </bottom>
      <diagonal/>
    </border>
    <border diagonalUp="false" diagonalDown="false">
      <left style="thin">
        <color rgb="FFDDDDDD"/>
      </left>
      <right/>
      <top style="thin">
        <color rgb="FFDDDD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D"/>
      <rgbColor rgb="FF888888"/>
      <rgbColor rgb="FF9999FF"/>
      <rgbColor rgb="FF993366"/>
      <rgbColor rgb="FFFEF3C7"/>
      <rgbColor rgb="FFE6F4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F5"/>
      <rgbColor rgb="FFF5F5F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5560A8"/>
      <rgbColor rgb="FF64748B"/>
      <rgbColor rgb="FF1A3278"/>
      <rgbColor rgb="FF238241"/>
      <rgbColor rgb="FF003300"/>
      <rgbColor rgb="FF333300"/>
      <rgbColor rgb="FF993300"/>
      <rgbColor rgb="FF993366"/>
      <rgbColor rgb="FF303990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3990"/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4" t="s">
        <v>3</v>
      </c>
      <c r="C3" s="3" t="s">
        <v>4</v>
      </c>
      <c r="D3" s="4" t="s">
        <v>5</v>
      </c>
      <c r="E3" s="3" t="s">
        <v>6</v>
      </c>
      <c r="F3" s="4" t="s">
        <v>7</v>
      </c>
      <c r="G3" s="3" t="s">
        <v>8</v>
      </c>
      <c r="H3" s="4" t="s">
        <v>9</v>
      </c>
      <c r="I3" s="3" t="s">
        <v>10</v>
      </c>
    </row>
    <row r="4" customFormat="false" ht="15.75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</row>
    <row r="5" customFormat="false" ht="15" hidden="false" customHeight="false" outlineLevel="0" collapsed="false">
      <c r="A5" s="6" t="s">
        <v>20</v>
      </c>
      <c r="B5" s="7" t="s">
        <v>21</v>
      </c>
      <c r="C5" s="8" t="s">
        <v>22</v>
      </c>
      <c r="D5" s="6" t="s">
        <v>23</v>
      </c>
      <c r="E5" s="9" t="n">
        <v>45323</v>
      </c>
      <c r="F5" s="8" t="n">
        <v>44</v>
      </c>
      <c r="G5" s="10" t="s">
        <v>24</v>
      </c>
      <c r="H5" s="11" t="s">
        <v>25</v>
      </c>
      <c r="I5" s="8" t="n">
        <v>1</v>
      </c>
    </row>
    <row r="6" customFormat="false" ht="15" hidden="false" customHeight="false" outlineLevel="0" collapsed="false">
      <c r="A6" s="12" t="s">
        <v>26</v>
      </c>
      <c r="B6" s="13" t="s">
        <v>27</v>
      </c>
      <c r="C6" s="8" t="s">
        <v>22</v>
      </c>
      <c r="D6" s="12" t="s">
        <v>28</v>
      </c>
      <c r="E6" s="14" t="n">
        <v>45319</v>
      </c>
      <c r="F6" s="15" t="n">
        <v>11</v>
      </c>
      <c r="G6" s="16" t="s">
        <v>24</v>
      </c>
      <c r="H6" s="17" t="s">
        <v>29</v>
      </c>
      <c r="I6" s="8" t="n">
        <v>2</v>
      </c>
    </row>
    <row r="7" customFormat="false" ht="15" hidden="false" customHeight="false" outlineLevel="0" collapsed="false">
      <c r="A7" s="6" t="s">
        <v>30</v>
      </c>
      <c r="B7" s="7" t="s">
        <v>31</v>
      </c>
      <c r="C7" s="18" t="s">
        <v>32</v>
      </c>
      <c r="D7" s="6" t="s">
        <v>33</v>
      </c>
      <c r="E7" s="9" t="n">
        <v>45367</v>
      </c>
      <c r="F7" s="6" t="n">
        <v>10</v>
      </c>
      <c r="G7" s="10" t="s">
        <v>24</v>
      </c>
      <c r="H7" s="11" t="s">
        <v>25</v>
      </c>
      <c r="I7" s="19" t="n">
        <v>4</v>
      </c>
    </row>
    <row r="8" customFormat="false" ht="15" hidden="false" customHeight="false" outlineLevel="0" collapsed="false">
      <c r="A8" s="12" t="s">
        <v>34</v>
      </c>
      <c r="B8" s="13" t="s">
        <v>35</v>
      </c>
      <c r="C8" s="18" t="s">
        <v>32</v>
      </c>
      <c r="D8" s="12" t="s">
        <v>36</v>
      </c>
      <c r="E8" s="14" t="n">
        <v>45389</v>
      </c>
      <c r="F8" s="8" t="n">
        <v>17</v>
      </c>
      <c r="G8" s="16" t="s">
        <v>24</v>
      </c>
      <c r="H8" s="17" t="s">
        <v>25</v>
      </c>
      <c r="I8" s="8" t="n">
        <v>1</v>
      </c>
    </row>
    <row r="9" customFormat="false" ht="15" hidden="false" customHeight="false" outlineLevel="0" collapsed="false">
      <c r="A9" s="6" t="s">
        <v>37</v>
      </c>
      <c r="B9" s="7" t="s">
        <v>35</v>
      </c>
      <c r="C9" s="18" t="s">
        <v>32</v>
      </c>
      <c r="D9" s="6" t="s">
        <v>28</v>
      </c>
      <c r="E9" s="9" t="n">
        <v>45385</v>
      </c>
      <c r="F9" s="8" t="n">
        <v>17</v>
      </c>
      <c r="G9" s="6" t="s">
        <v>38</v>
      </c>
      <c r="H9" s="11" t="s">
        <v>25</v>
      </c>
      <c r="I9" s="8" t="n">
        <v>1</v>
      </c>
    </row>
    <row r="10" customFormat="false" ht="15" hidden="false" customHeight="false" outlineLevel="0" collapsed="false">
      <c r="A10" s="12" t="s">
        <v>39</v>
      </c>
      <c r="B10" s="13" t="s">
        <v>35</v>
      </c>
      <c r="C10" s="16" t="s">
        <v>40</v>
      </c>
      <c r="D10" s="12" t="s">
        <v>41</v>
      </c>
      <c r="E10" s="14" t="n">
        <v>45405</v>
      </c>
      <c r="F10" s="12" t="n">
        <v>4</v>
      </c>
      <c r="G10" s="20" t="s">
        <v>42</v>
      </c>
      <c r="H10" s="17" t="s">
        <v>29</v>
      </c>
      <c r="I10" s="21" t="n">
        <v>5</v>
      </c>
    </row>
    <row r="11" customFormat="false" ht="15" hidden="false" customHeight="false" outlineLevel="0" collapsed="false">
      <c r="A11" s="6" t="s">
        <v>43</v>
      </c>
      <c r="B11" s="7" t="s">
        <v>21</v>
      </c>
      <c r="C11" s="18" t="s">
        <v>32</v>
      </c>
      <c r="D11" s="6" t="s">
        <v>23</v>
      </c>
      <c r="E11" s="9" t="n">
        <v>45302</v>
      </c>
      <c r="F11" s="8" t="n">
        <v>17</v>
      </c>
      <c r="G11" s="22" t="s">
        <v>42</v>
      </c>
      <c r="H11" s="11" t="s">
        <v>25</v>
      </c>
      <c r="I11" s="8" t="n">
        <v>2</v>
      </c>
    </row>
    <row r="12" customFormat="false" ht="15" hidden="false" customHeight="false" outlineLevel="0" collapsed="false">
      <c r="A12" s="12" t="s">
        <v>44</v>
      </c>
      <c r="B12" s="13" t="s">
        <v>35</v>
      </c>
      <c r="C12" s="8" t="s">
        <v>22</v>
      </c>
      <c r="D12" s="12" t="s">
        <v>23</v>
      </c>
      <c r="E12" s="14" t="n">
        <v>45318</v>
      </c>
      <c r="F12" s="8" t="n">
        <v>20</v>
      </c>
      <c r="G12" s="12" t="s">
        <v>38</v>
      </c>
      <c r="H12" s="17" t="s">
        <v>25</v>
      </c>
      <c r="I12" s="8" t="n">
        <v>2</v>
      </c>
    </row>
    <row r="13" customFormat="false" ht="15" hidden="false" customHeight="false" outlineLevel="0" collapsed="false">
      <c r="A13" s="6" t="s">
        <v>45</v>
      </c>
      <c r="B13" s="7" t="s">
        <v>46</v>
      </c>
      <c r="C13" s="8" t="s">
        <v>22</v>
      </c>
      <c r="D13" s="6" t="s">
        <v>33</v>
      </c>
      <c r="E13" s="9" t="n">
        <v>45326</v>
      </c>
      <c r="F13" s="8" t="n">
        <v>24</v>
      </c>
      <c r="G13" s="8" t="s">
        <v>47</v>
      </c>
      <c r="H13" s="11" t="s">
        <v>29</v>
      </c>
      <c r="I13" s="23" t="n">
        <v>3</v>
      </c>
    </row>
    <row r="14" customFormat="false" ht="15" hidden="false" customHeight="false" outlineLevel="0" collapsed="false">
      <c r="A14" s="12" t="s">
        <v>48</v>
      </c>
      <c r="B14" s="13" t="s">
        <v>21</v>
      </c>
      <c r="C14" s="8" t="s">
        <v>22</v>
      </c>
      <c r="D14" s="12" t="s">
        <v>28</v>
      </c>
      <c r="E14" s="14" t="n">
        <v>45395</v>
      </c>
      <c r="F14" s="15" t="n">
        <v>14</v>
      </c>
      <c r="G14" s="16" t="s">
        <v>24</v>
      </c>
      <c r="H14" s="17" t="s">
        <v>49</v>
      </c>
      <c r="I14" s="8" t="n">
        <v>1</v>
      </c>
    </row>
    <row r="15" customFormat="false" ht="15" hidden="false" customHeight="false" outlineLevel="0" collapsed="false">
      <c r="A15" s="6" t="s">
        <v>50</v>
      </c>
      <c r="B15" s="7" t="s">
        <v>31</v>
      </c>
      <c r="C15" s="10" t="s">
        <v>40</v>
      </c>
      <c r="D15" s="6" t="s">
        <v>23</v>
      </c>
      <c r="E15" s="9" t="n">
        <v>45319</v>
      </c>
      <c r="F15" s="23" t="n">
        <v>11</v>
      </c>
      <c r="G15" s="6" t="s">
        <v>38</v>
      </c>
      <c r="H15" s="11" t="s">
        <v>51</v>
      </c>
      <c r="I15" s="19" t="n">
        <v>4</v>
      </c>
    </row>
    <row r="16" customFormat="false" ht="15" hidden="false" customHeight="false" outlineLevel="0" collapsed="false">
      <c r="A16" s="12" t="s">
        <v>52</v>
      </c>
      <c r="B16" s="13" t="s">
        <v>35</v>
      </c>
      <c r="C16" s="8" t="s">
        <v>22</v>
      </c>
      <c r="D16" s="12" t="s">
        <v>41</v>
      </c>
      <c r="E16" s="14" t="n">
        <v>45360</v>
      </c>
      <c r="F16" s="8" t="n">
        <v>37</v>
      </c>
      <c r="G16" s="16" t="s">
        <v>24</v>
      </c>
      <c r="H16" s="17" t="s">
        <v>29</v>
      </c>
      <c r="I16" s="21" t="n">
        <v>4</v>
      </c>
    </row>
    <row r="17" customFormat="false" ht="15" hidden="false" customHeight="false" outlineLevel="0" collapsed="false">
      <c r="A17" s="6" t="s">
        <v>53</v>
      </c>
      <c r="B17" s="7" t="s">
        <v>27</v>
      </c>
      <c r="C17" s="18" t="s">
        <v>32</v>
      </c>
      <c r="D17" s="6" t="s">
        <v>36</v>
      </c>
      <c r="E17" s="9" t="n">
        <v>45357</v>
      </c>
      <c r="F17" s="6" t="n">
        <v>8</v>
      </c>
      <c r="G17" s="6" t="s">
        <v>38</v>
      </c>
      <c r="H17" s="11" t="s">
        <v>25</v>
      </c>
      <c r="I17" s="8" t="n">
        <v>2</v>
      </c>
    </row>
    <row r="18" customFormat="false" ht="15" hidden="false" customHeight="false" outlineLevel="0" collapsed="false">
      <c r="A18" s="12" t="s">
        <v>54</v>
      </c>
      <c r="B18" s="13" t="s">
        <v>46</v>
      </c>
      <c r="C18" s="16" t="s">
        <v>40</v>
      </c>
      <c r="D18" s="12" t="s">
        <v>33</v>
      </c>
      <c r="E18" s="14" t="n">
        <v>45368</v>
      </c>
      <c r="F18" s="12" t="n">
        <v>10</v>
      </c>
      <c r="G18" s="16" t="s">
        <v>24</v>
      </c>
      <c r="H18" s="17" t="s">
        <v>51</v>
      </c>
      <c r="I18" s="21" t="n">
        <v>5</v>
      </c>
    </row>
    <row r="19" customFormat="false" ht="15" hidden="false" customHeight="false" outlineLevel="0" collapsed="false">
      <c r="A19" s="6" t="s">
        <v>55</v>
      </c>
      <c r="B19" s="7" t="s">
        <v>31</v>
      </c>
      <c r="C19" s="18" t="s">
        <v>32</v>
      </c>
      <c r="D19" s="6" t="s">
        <v>41</v>
      </c>
      <c r="E19" s="9" t="n">
        <v>45402</v>
      </c>
      <c r="F19" s="8" t="n">
        <v>22</v>
      </c>
      <c r="G19" s="8" t="s">
        <v>47</v>
      </c>
      <c r="H19" s="11" t="s">
        <v>25</v>
      </c>
      <c r="I19" s="19" t="n">
        <v>4</v>
      </c>
    </row>
    <row r="20" customFormat="false" ht="15" hidden="false" customHeight="false" outlineLevel="0" collapsed="false">
      <c r="A20" s="12" t="s">
        <v>56</v>
      </c>
      <c r="B20" s="13" t="s">
        <v>35</v>
      </c>
      <c r="C20" s="8" t="s">
        <v>22</v>
      </c>
      <c r="D20" s="12" t="s">
        <v>33</v>
      </c>
      <c r="E20" s="14" t="n">
        <v>45312</v>
      </c>
      <c r="F20" s="8" t="n">
        <v>42</v>
      </c>
      <c r="G20" s="12" t="s">
        <v>38</v>
      </c>
      <c r="H20" s="17" t="s">
        <v>49</v>
      </c>
      <c r="I20" s="15" t="n">
        <v>3</v>
      </c>
    </row>
    <row r="21" customFormat="false" ht="15" hidden="false" customHeight="false" outlineLevel="0" collapsed="false">
      <c r="A21" s="6" t="s">
        <v>57</v>
      </c>
      <c r="B21" s="7" t="s">
        <v>31</v>
      </c>
      <c r="C21" s="10" t="s">
        <v>40</v>
      </c>
      <c r="D21" s="6" t="s">
        <v>23</v>
      </c>
      <c r="E21" s="9" t="n">
        <v>45399</v>
      </c>
      <c r="F21" s="6" t="n">
        <v>4</v>
      </c>
      <c r="G21" s="6" t="s">
        <v>38</v>
      </c>
      <c r="H21" s="11" t="s">
        <v>29</v>
      </c>
      <c r="I21" s="23" t="n">
        <v>3</v>
      </c>
    </row>
    <row r="22" customFormat="false" ht="15" hidden="false" customHeight="false" outlineLevel="0" collapsed="false">
      <c r="A22" s="12" t="s">
        <v>58</v>
      </c>
      <c r="B22" s="13" t="s">
        <v>46</v>
      </c>
      <c r="C22" s="18" t="s">
        <v>32</v>
      </c>
      <c r="D22" s="12" t="s">
        <v>41</v>
      </c>
      <c r="E22" s="14" t="n">
        <v>45409</v>
      </c>
      <c r="F22" s="8" t="n">
        <v>20</v>
      </c>
      <c r="G22" s="16" t="s">
        <v>24</v>
      </c>
      <c r="H22" s="17" t="s">
        <v>49</v>
      </c>
      <c r="I22" s="8" t="n">
        <v>1</v>
      </c>
    </row>
    <row r="23" customFormat="false" ht="15" hidden="false" customHeight="false" outlineLevel="0" collapsed="false">
      <c r="A23" s="6" t="s">
        <v>59</v>
      </c>
      <c r="B23" s="7" t="s">
        <v>35</v>
      </c>
      <c r="C23" s="10" t="s">
        <v>40</v>
      </c>
      <c r="D23" s="6" t="s">
        <v>23</v>
      </c>
      <c r="E23" s="9" t="n">
        <v>45322</v>
      </c>
      <c r="F23" s="6" t="n">
        <v>2</v>
      </c>
      <c r="G23" s="10" t="s">
        <v>24</v>
      </c>
      <c r="H23" s="11" t="s">
        <v>29</v>
      </c>
      <c r="I23" s="8" t="n">
        <v>2</v>
      </c>
    </row>
    <row r="24" customFormat="false" ht="15" hidden="false" customHeight="false" outlineLevel="0" collapsed="false">
      <c r="A24" s="12" t="s">
        <v>60</v>
      </c>
      <c r="B24" s="13" t="s">
        <v>27</v>
      </c>
      <c r="C24" s="16" t="s">
        <v>40</v>
      </c>
      <c r="D24" s="12" t="s">
        <v>41</v>
      </c>
      <c r="E24" s="14" t="n">
        <v>45390</v>
      </c>
      <c r="F24" s="12" t="n">
        <v>9</v>
      </c>
      <c r="G24" s="16" t="s">
        <v>24</v>
      </c>
      <c r="H24" s="17" t="s">
        <v>51</v>
      </c>
      <c r="I24" s="15" t="n">
        <v>3</v>
      </c>
    </row>
    <row r="25" customFormat="false" ht="15" hidden="false" customHeight="false" outlineLevel="0" collapsed="false">
      <c r="A25" s="6" t="s">
        <v>61</v>
      </c>
      <c r="B25" s="7" t="s">
        <v>31</v>
      </c>
      <c r="C25" s="10" t="s">
        <v>40</v>
      </c>
      <c r="D25" s="6" t="s">
        <v>33</v>
      </c>
      <c r="E25" s="9" t="n">
        <v>45319</v>
      </c>
      <c r="F25" s="23" t="n">
        <v>12</v>
      </c>
      <c r="G25" s="8" t="s">
        <v>47</v>
      </c>
      <c r="H25" s="11" t="s">
        <v>62</v>
      </c>
      <c r="I25" s="23" t="n">
        <v>3</v>
      </c>
    </row>
    <row r="26" customFormat="false" ht="15" hidden="false" customHeight="false" outlineLevel="0" collapsed="false">
      <c r="A26" s="12" t="s">
        <v>63</v>
      </c>
      <c r="B26" s="13" t="s">
        <v>35</v>
      </c>
      <c r="C26" s="18" t="s">
        <v>32</v>
      </c>
      <c r="D26" s="12" t="s">
        <v>41</v>
      </c>
      <c r="E26" s="14" t="n">
        <v>45349</v>
      </c>
      <c r="F26" s="12" t="n">
        <v>7</v>
      </c>
      <c r="G26" s="16" t="s">
        <v>24</v>
      </c>
      <c r="H26" s="17" t="s">
        <v>62</v>
      </c>
      <c r="I26" s="15" t="n">
        <v>3</v>
      </c>
    </row>
    <row r="27" customFormat="false" ht="15" hidden="false" customHeight="false" outlineLevel="0" collapsed="false">
      <c r="A27" s="6" t="s">
        <v>64</v>
      </c>
      <c r="B27" s="7" t="s">
        <v>31</v>
      </c>
      <c r="C27" s="18" t="s">
        <v>32</v>
      </c>
      <c r="D27" s="6" t="s">
        <v>41</v>
      </c>
      <c r="E27" s="9" t="n">
        <v>45320</v>
      </c>
      <c r="F27" s="23" t="n">
        <v>12</v>
      </c>
      <c r="G27" s="10" t="s">
        <v>24</v>
      </c>
      <c r="H27" s="11" t="s">
        <v>25</v>
      </c>
      <c r="I27" s="8" t="n">
        <v>1</v>
      </c>
    </row>
    <row r="28" customFormat="false" ht="15" hidden="false" customHeight="false" outlineLevel="0" collapsed="false">
      <c r="A28" s="12" t="s">
        <v>65</v>
      </c>
      <c r="B28" s="13" t="s">
        <v>21</v>
      </c>
      <c r="C28" s="16" t="s">
        <v>40</v>
      </c>
      <c r="D28" s="12" t="s">
        <v>28</v>
      </c>
      <c r="E28" s="14" t="n">
        <v>45357</v>
      </c>
      <c r="F28" s="12" t="n">
        <v>4</v>
      </c>
      <c r="G28" s="16" t="s">
        <v>24</v>
      </c>
      <c r="H28" s="17" t="s">
        <v>51</v>
      </c>
      <c r="I28" s="21" t="n">
        <v>4</v>
      </c>
    </row>
    <row r="29" customFormat="false" ht="15" hidden="false" customHeight="false" outlineLevel="0" collapsed="false">
      <c r="A29" s="6" t="s">
        <v>66</v>
      </c>
      <c r="B29" s="7" t="s">
        <v>31</v>
      </c>
      <c r="C29" s="18" t="s">
        <v>32</v>
      </c>
      <c r="D29" s="6" t="s">
        <v>36</v>
      </c>
      <c r="E29" s="9" t="n">
        <v>45392</v>
      </c>
      <c r="F29" s="23" t="n">
        <v>11</v>
      </c>
      <c r="G29" s="6" t="s">
        <v>38</v>
      </c>
      <c r="H29" s="11" t="s">
        <v>51</v>
      </c>
      <c r="I29" s="8" t="n">
        <v>1</v>
      </c>
    </row>
    <row r="31" customFormat="false" ht="21.75" hidden="false" customHeight="true" outlineLevel="0" collapsed="false">
      <c r="A31" s="24" t="s">
        <v>67</v>
      </c>
      <c r="B31" s="24"/>
      <c r="C31" s="24"/>
      <c r="D31" s="24"/>
      <c r="E31" s="24"/>
      <c r="F31" s="24"/>
      <c r="G31" s="24"/>
      <c r="H31" s="24"/>
      <c r="I31" s="24"/>
    </row>
    <row r="32" customFormat="false" ht="15" hidden="false" customHeight="false" outlineLevel="0" collapsed="false">
      <c r="A32" s="25" t="s">
        <v>68</v>
      </c>
      <c r="B32" s="25"/>
      <c r="C32" s="25"/>
      <c r="D32" s="25"/>
      <c r="E32" s="25"/>
      <c r="F32" s="26" t="n">
        <f aca="false">AVERAGE(F5:F29)</f>
        <v>15.56</v>
      </c>
    </row>
    <row r="33" customFormat="false" ht="15" hidden="false" customHeight="false" outlineLevel="0" collapsed="false">
      <c r="A33" s="25" t="s">
        <v>69</v>
      </c>
      <c r="B33" s="25"/>
      <c r="C33" s="25"/>
      <c r="D33" s="25"/>
      <c r="E33" s="25"/>
      <c r="F33" s="27" t="n">
        <f aca="false">COUNTIF(F5:F29,"&gt;15")</f>
        <v>10</v>
      </c>
    </row>
    <row r="34" customFormat="false" ht="15" hidden="false" customHeight="false" outlineLevel="0" collapsed="false">
      <c r="A34" s="25" t="s">
        <v>70</v>
      </c>
      <c r="B34" s="25"/>
      <c r="C34" s="25"/>
      <c r="D34" s="25"/>
      <c r="E34" s="25"/>
      <c r="F34" s="27" t="n">
        <f aca="false">COUNTIF(G5:G29,"Resuelto")</f>
        <v>13</v>
      </c>
    </row>
    <row r="35" customFormat="false" ht="15" hidden="false" customHeight="false" outlineLevel="0" collapsed="false">
      <c r="A35" s="25" t="s">
        <v>71</v>
      </c>
      <c r="B35" s="25"/>
      <c r="C35" s="25"/>
      <c r="D35" s="25"/>
      <c r="E35" s="25"/>
      <c r="F35" s="28" t="n">
        <f aca="false">AVERAGE(I5:I29)</f>
        <v>2.6</v>
      </c>
    </row>
    <row r="36" customFormat="false" ht="15" hidden="false" customHeight="false" outlineLevel="0" collapsed="false">
      <c r="A36" s="25" t="s">
        <v>72</v>
      </c>
      <c r="B36" s="25"/>
      <c r="C36" s="25"/>
      <c r="D36" s="25"/>
      <c r="E36" s="25"/>
      <c r="F36" s="27" t="n">
        <f aca="false">COUNTIF(C5:C29,"Alta")</f>
        <v>7</v>
      </c>
    </row>
    <row r="37" customFormat="false" ht="15" hidden="false" customHeight="false" outlineLevel="0" collapsed="false">
      <c r="A37" s="25" t="s">
        <v>73</v>
      </c>
      <c r="B37" s="25"/>
      <c r="C37" s="25"/>
      <c r="D37" s="25"/>
      <c r="E37" s="25"/>
      <c r="F37" s="27" t="n">
        <f aca="false">COUNTIF(G5:G29,"Pendiente")</f>
        <v>3</v>
      </c>
    </row>
  </sheetData>
  <mergeCells count="9">
    <mergeCell ref="A1:I1"/>
    <mergeCell ref="A2:I2"/>
    <mergeCell ref="A31:I31"/>
    <mergeCell ref="A32:E32"/>
    <mergeCell ref="A33:E33"/>
    <mergeCell ref="A34:E34"/>
    <mergeCell ref="A35:E35"/>
    <mergeCell ref="A36:E36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8241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5" min="5" style="0" width="36"/>
    <col collapsed="false" customWidth="true" hidden="false" outlineLevel="0" max="6" min="6" style="0" width="44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29" t="s">
        <v>74</v>
      </c>
      <c r="B1" s="29"/>
      <c r="C1" s="29"/>
      <c r="D1" s="29"/>
      <c r="E1" s="29"/>
      <c r="F1" s="29"/>
      <c r="G1" s="29"/>
    </row>
    <row r="2" customFormat="false" ht="21.7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76</v>
      </c>
      <c r="B3" s="4" t="s">
        <v>77</v>
      </c>
      <c r="C3" s="3" t="s">
        <v>78</v>
      </c>
      <c r="D3" s="4" t="s">
        <v>79</v>
      </c>
      <c r="E3" s="3" t="s">
        <v>80</v>
      </c>
      <c r="F3" s="4" t="s">
        <v>81</v>
      </c>
      <c r="G3" s="3" t="s">
        <v>82</v>
      </c>
    </row>
    <row r="4" customFormat="false" ht="57.75" hidden="false" customHeight="true" outlineLevel="0" collapsed="false">
      <c r="A4" s="30" t="s">
        <v>11</v>
      </c>
      <c r="B4" s="31" t="s">
        <v>83</v>
      </c>
      <c r="C4" s="32" t="s">
        <v>84</v>
      </c>
      <c r="D4" s="32" t="s">
        <v>85</v>
      </c>
      <c r="E4" s="33" t="s">
        <v>86</v>
      </c>
      <c r="F4" s="34" t="s">
        <v>87</v>
      </c>
      <c r="G4" s="35" t="s">
        <v>88</v>
      </c>
    </row>
    <row r="5" customFormat="false" ht="57.75" hidden="false" customHeight="true" outlineLevel="0" collapsed="false">
      <c r="A5" s="36" t="s">
        <v>12</v>
      </c>
      <c r="B5" s="37" t="s">
        <v>89</v>
      </c>
      <c r="C5" s="38" t="s">
        <v>90</v>
      </c>
      <c r="D5" s="38" t="s">
        <v>91</v>
      </c>
      <c r="E5" s="39" t="s">
        <v>92</v>
      </c>
      <c r="F5" s="40" t="s">
        <v>93</v>
      </c>
      <c r="G5" s="41" t="s">
        <v>94</v>
      </c>
    </row>
    <row r="6" customFormat="false" ht="57.75" hidden="false" customHeight="true" outlineLevel="0" collapsed="false">
      <c r="A6" s="30" t="s">
        <v>13</v>
      </c>
      <c r="B6" s="31" t="s">
        <v>89</v>
      </c>
      <c r="C6" s="32" t="s">
        <v>95</v>
      </c>
      <c r="D6" s="32" t="s">
        <v>96</v>
      </c>
      <c r="E6" s="33" t="s">
        <v>97</v>
      </c>
      <c r="F6" s="34" t="s">
        <v>98</v>
      </c>
      <c r="G6" s="35" t="s">
        <v>94</v>
      </c>
    </row>
    <row r="7" customFormat="false" ht="57.75" hidden="false" customHeight="true" outlineLevel="0" collapsed="false">
      <c r="A7" s="36" t="s">
        <v>14</v>
      </c>
      <c r="B7" s="37" t="s">
        <v>89</v>
      </c>
      <c r="C7" s="38" t="s">
        <v>99</v>
      </c>
      <c r="D7" s="38" t="s">
        <v>100</v>
      </c>
      <c r="E7" s="39" t="s">
        <v>101</v>
      </c>
      <c r="F7" s="40" t="s">
        <v>102</v>
      </c>
      <c r="G7" s="41" t="s">
        <v>94</v>
      </c>
    </row>
    <row r="8" customFormat="false" ht="57.75" hidden="false" customHeight="true" outlineLevel="0" collapsed="false">
      <c r="A8" s="30" t="s">
        <v>15</v>
      </c>
      <c r="B8" s="31" t="s">
        <v>103</v>
      </c>
      <c r="C8" s="32" t="s">
        <v>104</v>
      </c>
      <c r="D8" s="32" t="s">
        <v>105</v>
      </c>
      <c r="E8" s="33" t="s">
        <v>106</v>
      </c>
      <c r="F8" s="34" t="s">
        <v>107</v>
      </c>
      <c r="G8" s="35" t="s">
        <v>108</v>
      </c>
    </row>
    <row r="9" customFormat="false" ht="57.75" hidden="false" customHeight="true" outlineLevel="0" collapsed="false">
      <c r="A9" s="36" t="s">
        <v>16</v>
      </c>
      <c r="B9" s="37" t="s">
        <v>109</v>
      </c>
      <c r="C9" s="38" t="s">
        <v>110</v>
      </c>
      <c r="D9" s="38" t="s">
        <v>111</v>
      </c>
      <c r="E9" s="39" t="s">
        <v>112</v>
      </c>
      <c r="F9" s="40" t="s">
        <v>113</v>
      </c>
      <c r="G9" s="41" t="s">
        <v>114</v>
      </c>
    </row>
    <row r="10" customFormat="false" ht="57.75" hidden="false" customHeight="true" outlineLevel="0" collapsed="false">
      <c r="A10" s="30" t="s">
        <v>17</v>
      </c>
      <c r="B10" s="31" t="s">
        <v>89</v>
      </c>
      <c r="C10" s="32" t="s">
        <v>115</v>
      </c>
      <c r="D10" s="32" t="s">
        <v>116</v>
      </c>
      <c r="E10" s="33" t="s">
        <v>117</v>
      </c>
      <c r="F10" s="34" t="s">
        <v>118</v>
      </c>
      <c r="G10" s="35" t="s">
        <v>88</v>
      </c>
    </row>
    <row r="11" customFormat="false" ht="57.75" hidden="false" customHeight="true" outlineLevel="0" collapsed="false">
      <c r="A11" s="36" t="s">
        <v>18</v>
      </c>
      <c r="B11" s="37" t="s">
        <v>83</v>
      </c>
      <c r="C11" s="38" t="s">
        <v>119</v>
      </c>
      <c r="D11" s="38" t="s">
        <v>120</v>
      </c>
      <c r="E11" s="39" t="s">
        <v>121</v>
      </c>
      <c r="F11" s="40" t="s">
        <v>122</v>
      </c>
      <c r="G11" s="41" t="s">
        <v>94</v>
      </c>
    </row>
    <row r="12" customFormat="false" ht="57.75" hidden="false" customHeight="true" outlineLevel="0" collapsed="false">
      <c r="A12" s="30" t="s">
        <v>19</v>
      </c>
      <c r="B12" s="31" t="s">
        <v>123</v>
      </c>
      <c r="C12" s="32" t="s">
        <v>124</v>
      </c>
      <c r="D12" s="32" t="s">
        <v>125</v>
      </c>
      <c r="E12" s="33" t="s">
        <v>126</v>
      </c>
      <c r="F12" s="34" t="s">
        <v>127</v>
      </c>
      <c r="G12" s="35" t="s">
        <v>114</v>
      </c>
    </row>
    <row r="14" customFormat="false" ht="21.75" hidden="false" customHeight="true" outlineLevel="0" collapsed="false">
      <c r="A14" s="1" t="s">
        <v>128</v>
      </c>
      <c r="B14" s="1"/>
      <c r="C14" s="1"/>
      <c r="D14" s="1"/>
      <c r="E14" s="1"/>
      <c r="F14" s="1"/>
      <c r="G14" s="1"/>
    </row>
    <row r="15" customFormat="false" ht="36" hidden="false" customHeight="true" outlineLevel="0" collapsed="false">
      <c r="A15" s="42" t="s">
        <v>129</v>
      </c>
      <c r="B15" s="43" t="s">
        <v>130</v>
      </c>
      <c r="C15" s="43"/>
      <c r="D15" s="43"/>
      <c r="E15" s="43"/>
      <c r="F15" s="43"/>
      <c r="G15" s="43"/>
    </row>
    <row r="16" customFormat="false" ht="36" hidden="false" customHeight="true" outlineLevel="0" collapsed="false">
      <c r="A16" s="42" t="s">
        <v>131</v>
      </c>
      <c r="B16" s="43" t="s">
        <v>132</v>
      </c>
      <c r="C16" s="43"/>
      <c r="D16" s="43"/>
      <c r="E16" s="43"/>
      <c r="F16" s="43"/>
      <c r="G16" s="43"/>
    </row>
    <row r="17" customFormat="false" ht="36" hidden="false" customHeight="true" outlineLevel="0" collapsed="false">
      <c r="A17" s="42" t="s">
        <v>133</v>
      </c>
      <c r="B17" s="43" t="s">
        <v>134</v>
      </c>
      <c r="C17" s="43"/>
      <c r="D17" s="43"/>
      <c r="E17" s="43"/>
      <c r="F17" s="43"/>
      <c r="G17" s="43"/>
    </row>
    <row r="18" customFormat="false" ht="36" hidden="false" customHeight="true" outlineLevel="0" collapsed="false">
      <c r="A18" s="42" t="s">
        <v>135</v>
      </c>
      <c r="B18" s="43" t="s">
        <v>136</v>
      </c>
      <c r="C18" s="43"/>
      <c r="D18" s="43"/>
      <c r="E18" s="43"/>
      <c r="F18" s="43"/>
      <c r="G18" s="43"/>
    </row>
  </sheetData>
  <mergeCells count="7">
    <mergeCell ref="A1:G1"/>
    <mergeCell ref="A2:G2"/>
    <mergeCell ref="A14:G14"/>
    <mergeCell ref="B15:G15"/>
    <mergeCell ref="B16:G16"/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60A8"/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7" min="4" style="0" width="10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24" t="s">
        <v>137</v>
      </c>
      <c r="B1" s="24"/>
      <c r="C1" s="24"/>
      <c r="D1" s="24"/>
      <c r="E1" s="24"/>
      <c r="F1" s="24"/>
      <c r="G1" s="24"/>
      <c r="H1" s="24"/>
    </row>
    <row r="2" customFormat="false" ht="21.75" hidden="false" customHeight="true" outlineLevel="0" collapsed="false">
      <c r="A2" s="44" t="s">
        <v>138</v>
      </c>
      <c r="B2" s="44"/>
      <c r="C2" s="44"/>
      <c r="D2" s="44"/>
      <c r="E2" s="44"/>
      <c r="F2" s="44"/>
      <c r="G2" s="44"/>
      <c r="H2" s="44"/>
    </row>
    <row r="4" customFormat="false" ht="27.75" hidden="false" customHeight="true" outlineLevel="0" collapsed="false">
      <c r="A4" s="45" t="s">
        <v>139</v>
      </c>
      <c r="B4" s="45"/>
      <c r="C4" s="45"/>
      <c r="D4" s="45"/>
      <c r="E4" s="45" t="s">
        <v>140</v>
      </c>
      <c r="F4" s="45"/>
      <c r="G4" s="45"/>
      <c r="H4" s="45"/>
    </row>
    <row r="6" customFormat="false" ht="21.75" hidden="false" customHeight="true" outlineLevel="0" collapsed="false">
      <c r="A6" s="1" t="s">
        <v>141</v>
      </c>
      <c r="B6" s="1"/>
      <c r="C6" s="1"/>
      <c r="D6" s="1"/>
      <c r="E6" s="1"/>
      <c r="F6" s="1"/>
      <c r="G6" s="1"/>
      <c r="H6" s="1"/>
    </row>
    <row r="7" customFormat="false" ht="27.75" hidden="false" customHeight="true" outlineLevel="0" collapsed="false">
      <c r="A7" s="46" t="s">
        <v>142</v>
      </c>
      <c r="B7" s="46"/>
      <c r="C7" s="46"/>
      <c r="D7" s="46"/>
      <c r="E7" s="46"/>
      <c r="F7" s="46"/>
      <c r="G7" s="46"/>
      <c r="H7" s="46"/>
    </row>
    <row r="8" customFormat="false" ht="27.75" hidden="false" customHeight="true" outlineLevel="0" collapsed="false">
      <c r="A8" s="46"/>
      <c r="B8" s="46"/>
      <c r="C8" s="46"/>
      <c r="D8" s="46"/>
      <c r="E8" s="46"/>
      <c r="F8" s="46"/>
      <c r="G8" s="46"/>
      <c r="H8" s="46"/>
    </row>
    <row r="9" customFormat="false" ht="27.75" hidden="false" customHeight="true" outlineLevel="0" collapsed="false">
      <c r="A9" s="46"/>
      <c r="B9" s="46"/>
      <c r="C9" s="46"/>
      <c r="D9" s="46"/>
      <c r="E9" s="46"/>
      <c r="F9" s="46"/>
      <c r="G9" s="46"/>
      <c r="H9" s="46"/>
    </row>
    <row r="11" customFormat="false" ht="21.75" hidden="false" customHeight="true" outlineLevel="0" collapsed="false">
      <c r="A11" s="29" t="s">
        <v>143</v>
      </c>
      <c r="B11" s="29"/>
      <c r="C11" s="29"/>
      <c r="D11" s="29"/>
      <c r="E11" s="29"/>
      <c r="F11" s="29"/>
      <c r="G11" s="29"/>
      <c r="H11" s="29"/>
    </row>
    <row r="12" customFormat="false" ht="25.5" hidden="false" customHeight="true" outlineLevel="0" collapsed="false">
      <c r="A12" s="47" t="s">
        <v>144</v>
      </c>
      <c r="B12" s="47"/>
      <c r="C12" s="48" t="s">
        <v>145</v>
      </c>
      <c r="D12" s="48"/>
      <c r="E12" s="48"/>
      <c r="F12" s="48"/>
      <c r="G12" s="48"/>
      <c r="H12" s="48"/>
    </row>
    <row r="13" customFormat="false" ht="25.5" hidden="false" customHeight="true" outlineLevel="0" collapsed="false">
      <c r="C13" s="48"/>
      <c r="D13" s="48"/>
      <c r="E13" s="48"/>
      <c r="F13" s="48"/>
      <c r="G13" s="48"/>
      <c r="H13" s="48"/>
    </row>
    <row r="14" customFormat="false" ht="25.5" hidden="false" customHeight="true" outlineLevel="0" collapsed="false">
      <c r="C14" s="48"/>
      <c r="D14" s="48"/>
      <c r="E14" s="48"/>
      <c r="F14" s="48"/>
      <c r="G14" s="48"/>
      <c r="H14" s="48"/>
    </row>
    <row r="15" customFormat="false" ht="25.5" hidden="false" customHeight="true" outlineLevel="0" collapsed="false">
      <c r="A15" s="49" t="s">
        <v>146</v>
      </c>
      <c r="B15" s="49"/>
      <c r="C15" s="50" t="s">
        <v>147</v>
      </c>
      <c r="D15" s="50"/>
      <c r="E15" s="50"/>
      <c r="F15" s="50"/>
      <c r="G15" s="50"/>
      <c r="H15" s="50"/>
    </row>
    <row r="16" customFormat="false" ht="25.5" hidden="false" customHeight="true" outlineLevel="0" collapsed="false">
      <c r="C16" s="50"/>
      <c r="D16" s="50"/>
      <c r="E16" s="50"/>
      <c r="F16" s="50"/>
      <c r="G16" s="50"/>
      <c r="H16" s="50"/>
    </row>
    <row r="17" customFormat="false" ht="25.5" hidden="false" customHeight="true" outlineLevel="0" collapsed="false">
      <c r="C17" s="50"/>
      <c r="D17" s="50"/>
      <c r="E17" s="50"/>
      <c r="F17" s="50"/>
      <c r="G17" s="50"/>
      <c r="H17" s="50"/>
    </row>
    <row r="18" customFormat="false" ht="25.5" hidden="false" customHeight="true" outlineLevel="0" collapsed="false">
      <c r="A18" s="47" t="s">
        <v>148</v>
      </c>
      <c r="B18" s="47"/>
      <c r="C18" s="48" t="s">
        <v>149</v>
      </c>
      <c r="D18" s="48"/>
      <c r="E18" s="48"/>
      <c r="F18" s="48"/>
      <c r="G18" s="48"/>
      <c r="H18" s="48"/>
    </row>
    <row r="19" customFormat="false" ht="25.5" hidden="false" customHeight="true" outlineLevel="0" collapsed="false">
      <c r="C19" s="48"/>
      <c r="D19" s="48"/>
      <c r="E19" s="48"/>
      <c r="F19" s="48"/>
      <c r="G19" s="48"/>
      <c r="H19" s="48"/>
    </row>
    <row r="20" customFormat="false" ht="25.5" hidden="false" customHeight="true" outlineLevel="0" collapsed="false">
      <c r="C20" s="48"/>
      <c r="D20" s="48"/>
      <c r="E20" s="48"/>
      <c r="F20" s="48"/>
      <c r="G20" s="48"/>
      <c r="H20" s="48"/>
    </row>
    <row r="21" customFormat="false" ht="25.5" hidden="false" customHeight="true" outlineLevel="0" collapsed="false">
      <c r="A21" s="49" t="s">
        <v>150</v>
      </c>
      <c r="B21" s="49"/>
      <c r="C21" s="50" t="s">
        <v>151</v>
      </c>
      <c r="D21" s="50"/>
      <c r="E21" s="50"/>
      <c r="F21" s="50"/>
      <c r="G21" s="50"/>
      <c r="H21" s="50"/>
    </row>
    <row r="22" customFormat="false" ht="25.5" hidden="false" customHeight="true" outlineLevel="0" collapsed="false">
      <c r="C22" s="50"/>
      <c r="D22" s="50"/>
      <c r="E22" s="50"/>
      <c r="F22" s="50"/>
      <c r="G22" s="50"/>
      <c r="H22" s="50"/>
    </row>
    <row r="23" customFormat="false" ht="25.5" hidden="false" customHeight="true" outlineLevel="0" collapsed="false">
      <c r="C23" s="50"/>
      <c r="D23" s="50"/>
      <c r="E23" s="50"/>
      <c r="F23" s="50"/>
      <c r="G23" s="50"/>
      <c r="H23" s="50"/>
    </row>
    <row r="25" customFormat="false" ht="21.75" hidden="false" customHeight="true" outlineLevel="0" collapsed="false">
      <c r="A25" s="1" t="s">
        <v>152</v>
      </c>
      <c r="B25" s="1"/>
      <c r="C25" s="1"/>
      <c r="D25" s="1"/>
      <c r="E25" s="1"/>
      <c r="F25" s="1"/>
      <c r="G25" s="1"/>
      <c r="H25" s="1"/>
    </row>
    <row r="26" customFormat="false" ht="36" hidden="false" customHeight="true" outlineLevel="0" collapsed="false">
      <c r="A26" s="51" t="s">
        <v>153</v>
      </c>
      <c r="B26" s="52" t="s">
        <v>154</v>
      </c>
      <c r="C26" s="51" t="s">
        <v>155</v>
      </c>
      <c r="D26" s="52" t="s">
        <v>156</v>
      </c>
      <c r="E26" s="51" t="s">
        <v>157</v>
      </c>
      <c r="F26" s="52" t="s">
        <v>158</v>
      </c>
      <c r="G26" s="51" t="s">
        <v>159</v>
      </c>
      <c r="H26" s="52" t="s">
        <v>160</v>
      </c>
    </row>
    <row r="27" customFormat="false" ht="43.5" hidden="false" customHeight="true" outlineLevel="0" collapsed="false">
      <c r="A27" s="53" t="s">
        <v>161</v>
      </c>
      <c r="B27" s="54"/>
      <c r="C27" s="54"/>
      <c r="D27" s="55"/>
      <c r="E27" s="55"/>
      <c r="F27" s="55"/>
      <c r="G27" s="55"/>
      <c r="H27" s="56" t="n">
        <f aca="false">IFERROR((D27*0.25+E27*0.25+F27*0.25+G27*0.25),"")</f>
        <v>0</v>
      </c>
    </row>
    <row r="28" customFormat="false" ht="43.5" hidden="false" customHeight="true" outlineLevel="0" collapsed="false">
      <c r="A28" s="57" t="s">
        <v>162</v>
      </c>
      <c r="B28" s="58"/>
      <c r="C28" s="58"/>
      <c r="D28" s="59"/>
      <c r="E28" s="59"/>
      <c r="F28" s="59"/>
      <c r="G28" s="59"/>
      <c r="H28" s="56" t="n">
        <f aca="false">IFERROR((D28*0.25+E28*0.25+F28*0.25+G28*0.25),"")</f>
        <v>0</v>
      </c>
    </row>
    <row r="29" customFormat="false" ht="43.5" hidden="false" customHeight="true" outlineLevel="0" collapsed="false">
      <c r="A29" s="60" t="s">
        <v>163</v>
      </c>
      <c r="B29" s="61"/>
      <c r="C29" s="61"/>
      <c r="D29" s="62"/>
      <c r="E29" s="62"/>
      <c r="F29" s="62"/>
      <c r="G29" s="62"/>
      <c r="H29" s="56" t="n">
        <f aca="false">IFERROR((D29*0.25+E29*0.25+F29*0.25+G29*0.25),"")</f>
        <v>0</v>
      </c>
    </row>
    <row r="31" customFormat="false" ht="21.75" hidden="false" customHeight="true" outlineLevel="0" collapsed="false">
      <c r="A31" s="63" t="s">
        <v>164</v>
      </c>
      <c r="B31" s="63"/>
      <c r="C31" s="63"/>
      <c r="D31" s="63"/>
      <c r="E31" s="63"/>
      <c r="F31" s="63"/>
      <c r="G31" s="63"/>
      <c r="H31" s="63"/>
    </row>
    <row r="32" customFormat="false" ht="31.5" hidden="false" customHeight="true" outlineLevel="0" collapsed="false">
      <c r="A32" s="25" t="s">
        <v>165</v>
      </c>
      <c r="B32" s="25"/>
      <c r="C32" s="64"/>
      <c r="D32" s="64"/>
      <c r="E32" s="64"/>
      <c r="F32" s="64"/>
      <c r="G32" s="64"/>
      <c r="H32" s="64"/>
    </row>
    <row r="33" customFormat="false" ht="31.5" hidden="false" customHeight="true" outlineLevel="0" collapsed="false">
      <c r="A33" s="25" t="s">
        <v>166</v>
      </c>
      <c r="B33" s="25"/>
      <c r="C33" s="65"/>
      <c r="D33" s="65"/>
      <c r="E33" s="65"/>
      <c r="F33" s="65"/>
      <c r="G33" s="65"/>
      <c r="H33" s="65"/>
    </row>
    <row r="34" customFormat="false" ht="31.5" hidden="false" customHeight="true" outlineLevel="0" collapsed="false">
      <c r="A34" s="25" t="s">
        <v>167</v>
      </c>
      <c r="B34" s="25"/>
      <c r="C34" s="64"/>
      <c r="D34" s="64"/>
      <c r="E34" s="64"/>
      <c r="F34" s="64"/>
      <c r="G34" s="64"/>
      <c r="H34" s="64"/>
    </row>
    <row r="35" customFormat="false" ht="31.5" hidden="false" customHeight="true" outlineLevel="0" collapsed="false">
      <c r="A35" s="25" t="s">
        <v>168</v>
      </c>
      <c r="B35" s="25"/>
      <c r="C35" s="65"/>
      <c r="D35" s="65"/>
      <c r="E35" s="65"/>
      <c r="F35" s="65"/>
      <c r="G35" s="65"/>
      <c r="H35" s="65"/>
    </row>
    <row r="37" customFormat="false" ht="21.75" hidden="false" customHeight="true" outlineLevel="0" collapsed="false">
      <c r="A37" s="29" t="s">
        <v>169</v>
      </c>
      <c r="B37" s="29"/>
      <c r="C37" s="29"/>
      <c r="D37" s="29"/>
      <c r="E37" s="29"/>
      <c r="F37" s="29"/>
      <c r="G37" s="29"/>
      <c r="H37" s="29"/>
    </row>
    <row r="38" customFormat="false" ht="15" hidden="false" customHeight="false" outlineLevel="0" collapsed="false">
      <c r="A38" s="66" t="s">
        <v>170</v>
      </c>
      <c r="B38" s="66" t="s">
        <v>171</v>
      </c>
      <c r="C38" s="66" t="s">
        <v>172</v>
      </c>
      <c r="D38" s="66" t="s">
        <v>173</v>
      </c>
      <c r="E38" s="66" t="s">
        <v>174</v>
      </c>
    </row>
    <row r="39" customFormat="false" ht="36" hidden="false" customHeight="true" outlineLevel="0" collapsed="false">
      <c r="A39" s="53" t="s">
        <v>175</v>
      </c>
      <c r="B39" s="67"/>
      <c r="C39" s="67"/>
      <c r="D39" s="67"/>
      <c r="E39" s="67"/>
    </row>
    <row r="40" customFormat="false" ht="36" hidden="false" customHeight="true" outlineLevel="0" collapsed="false">
      <c r="A40" s="53" t="s">
        <v>176</v>
      </c>
      <c r="B40" s="68"/>
      <c r="C40" s="68"/>
      <c r="D40" s="68"/>
      <c r="E40" s="68"/>
    </row>
    <row r="41" customFormat="false" ht="36" hidden="false" customHeight="true" outlineLevel="0" collapsed="false">
      <c r="A41" s="53" t="s">
        <v>177</v>
      </c>
      <c r="B41" s="67"/>
      <c r="C41" s="67"/>
      <c r="D41" s="67"/>
      <c r="E41" s="67"/>
    </row>
  </sheetData>
  <mergeCells count="26">
    <mergeCell ref="A1:H1"/>
    <mergeCell ref="A2:H2"/>
    <mergeCell ref="A4:D4"/>
    <mergeCell ref="E4:H4"/>
    <mergeCell ref="A6:H6"/>
    <mergeCell ref="A7:H9"/>
    <mergeCell ref="A11:H11"/>
    <mergeCell ref="A12:B12"/>
    <mergeCell ref="C12:H14"/>
    <mergeCell ref="A15:B15"/>
    <mergeCell ref="C15:H17"/>
    <mergeCell ref="A18:B18"/>
    <mergeCell ref="C18:H20"/>
    <mergeCell ref="A21:B21"/>
    <mergeCell ref="C21:H23"/>
    <mergeCell ref="A25:H25"/>
    <mergeCell ref="A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21.75" hidden="false" customHeight="true" outlineLevel="0" collapsed="false">
      <c r="A1" s="1" t="s">
        <v>178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179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24" t="s">
        <v>180</v>
      </c>
      <c r="B4" s="24"/>
      <c r="C4" s="24"/>
      <c r="D4" s="24"/>
      <c r="E4" s="24"/>
      <c r="F4" s="24"/>
    </row>
    <row r="5" customFormat="false" ht="55.5" hidden="false" customHeight="true" outlineLevel="0" collapsed="false">
      <c r="A5" s="69" t="s">
        <v>181</v>
      </c>
      <c r="B5" s="69"/>
      <c r="C5" s="69"/>
      <c r="D5" s="69"/>
      <c r="E5" s="69"/>
      <c r="F5" s="69"/>
    </row>
    <row r="6" customFormat="false" ht="15" hidden="false" customHeight="false" outlineLevel="0" collapsed="false">
      <c r="A6" s="69"/>
      <c r="B6" s="69"/>
      <c r="C6" s="69"/>
      <c r="D6" s="69"/>
      <c r="E6" s="69"/>
      <c r="F6" s="69"/>
    </row>
    <row r="7" customFormat="false" ht="21.75" hidden="false" customHeight="true" outlineLevel="0" collapsed="false">
      <c r="A7" s="1" t="s">
        <v>182</v>
      </c>
      <c r="B7" s="1"/>
      <c r="C7" s="1"/>
      <c r="D7" s="1"/>
      <c r="E7" s="1"/>
      <c r="F7" s="1"/>
    </row>
    <row r="8" customFormat="false" ht="55.5" hidden="false" customHeight="true" outlineLevel="0" collapsed="false">
      <c r="A8" s="70" t="s">
        <v>183</v>
      </c>
      <c r="B8" s="70"/>
      <c r="C8" s="70"/>
      <c r="D8" s="70"/>
      <c r="E8" s="70"/>
      <c r="F8" s="70"/>
    </row>
    <row r="9" customFormat="false" ht="15" hidden="false" customHeight="false" outlineLevel="0" collapsed="false">
      <c r="A9" s="70"/>
      <c r="B9" s="70"/>
      <c r="C9" s="70"/>
      <c r="D9" s="70"/>
      <c r="E9" s="70"/>
      <c r="F9" s="70"/>
    </row>
    <row r="10" customFormat="false" ht="21.75" hidden="false" customHeight="true" outlineLevel="0" collapsed="false">
      <c r="A10" s="29" t="s">
        <v>184</v>
      </c>
      <c r="B10" s="29"/>
      <c r="C10" s="29"/>
      <c r="D10" s="29"/>
      <c r="E10" s="29"/>
      <c r="F10" s="29"/>
    </row>
    <row r="11" customFormat="false" ht="55.5" hidden="false" customHeight="true" outlineLevel="0" collapsed="false">
      <c r="A11" s="69" t="s">
        <v>185</v>
      </c>
      <c r="B11" s="69"/>
      <c r="C11" s="69"/>
      <c r="D11" s="69"/>
      <c r="E11" s="69"/>
      <c r="F11" s="69"/>
    </row>
    <row r="12" customFormat="false" ht="15" hidden="false" customHeight="false" outlineLevel="0" collapsed="false">
      <c r="A12" s="69"/>
      <c r="B12" s="69"/>
      <c r="C12" s="69"/>
      <c r="D12" s="69"/>
      <c r="E12" s="69"/>
      <c r="F12" s="69"/>
    </row>
    <row r="13" customFormat="false" ht="55.5" hidden="false" customHeight="true" outlineLevel="0" collapsed="false">
      <c r="A13" s="69" t="s">
        <v>186</v>
      </c>
      <c r="B13" s="69"/>
      <c r="C13" s="69"/>
      <c r="D13" s="69"/>
      <c r="E13" s="69"/>
      <c r="F13" s="69"/>
    </row>
    <row r="14" customFormat="false" ht="15" hidden="false" customHeight="false" outlineLevel="0" collapsed="false">
      <c r="A14" s="69"/>
      <c r="B14" s="69"/>
      <c r="C14" s="69"/>
      <c r="D14" s="69"/>
      <c r="E14" s="69"/>
      <c r="F14" s="69"/>
    </row>
    <row r="15" customFormat="false" ht="55.5" hidden="false" customHeight="true" outlineLevel="0" collapsed="false">
      <c r="A15" s="69" t="s">
        <v>187</v>
      </c>
      <c r="B15" s="69"/>
      <c r="C15" s="69"/>
      <c r="D15" s="69"/>
      <c r="E15" s="69"/>
      <c r="F15" s="69"/>
    </row>
    <row r="16" customFormat="false" ht="15" hidden="false" customHeight="false" outlineLevel="0" collapsed="false">
      <c r="A16" s="69"/>
      <c r="B16" s="69"/>
      <c r="C16" s="69"/>
      <c r="D16" s="69"/>
      <c r="E16" s="69"/>
      <c r="F16" s="69"/>
    </row>
    <row r="17" customFormat="false" ht="21.75" hidden="false" customHeight="true" outlineLevel="0" collapsed="false">
      <c r="A17" s="29" t="s">
        <v>188</v>
      </c>
      <c r="B17" s="29"/>
      <c r="C17" s="29"/>
      <c r="D17" s="29"/>
      <c r="E17" s="29"/>
      <c r="F17" s="29"/>
    </row>
    <row r="18" customFormat="false" ht="55.5" hidden="false" customHeight="true" outlineLevel="0" collapsed="false">
      <c r="A18" s="71" t="s">
        <v>189</v>
      </c>
      <c r="B18" s="71"/>
      <c r="C18" s="71"/>
      <c r="D18" s="71"/>
      <c r="E18" s="71"/>
      <c r="F18" s="71"/>
    </row>
    <row r="19" customFormat="false" ht="15" hidden="false" customHeight="false" outlineLevel="0" collapsed="false">
      <c r="A19" s="71"/>
      <c r="B19" s="71"/>
      <c r="C19" s="71"/>
      <c r="D19" s="71"/>
      <c r="E19" s="71"/>
      <c r="F19" s="71"/>
    </row>
    <row r="21" customFormat="false" ht="21.75" hidden="false" customHeight="true" outlineLevel="0" collapsed="false">
      <c r="A21" s="1" t="s">
        <v>190</v>
      </c>
      <c r="B21" s="1"/>
      <c r="C21" s="1"/>
      <c r="D21" s="1"/>
      <c r="E21" s="1"/>
      <c r="F21" s="1"/>
    </row>
    <row r="22" customFormat="false" ht="55.5" hidden="false" customHeight="true" outlineLevel="0" collapsed="false">
      <c r="A22" s="71" t="s">
        <v>191</v>
      </c>
      <c r="B22" s="71"/>
      <c r="C22" s="71"/>
      <c r="D22" s="71"/>
      <c r="E22" s="71"/>
      <c r="F22" s="71"/>
    </row>
    <row r="23" customFormat="false" ht="15" hidden="false" customHeight="false" outlineLevel="0" collapsed="false">
      <c r="A23" s="71"/>
      <c r="B23" s="71"/>
      <c r="C23" s="71"/>
      <c r="D23" s="71"/>
      <c r="E23" s="71"/>
      <c r="F23" s="71"/>
    </row>
  </sheetData>
  <mergeCells count="14">
    <mergeCell ref="A1:F1"/>
    <mergeCell ref="A2:F2"/>
    <mergeCell ref="A4:F4"/>
    <mergeCell ref="A5:F6"/>
    <mergeCell ref="A7:F7"/>
    <mergeCell ref="A8:F9"/>
    <mergeCell ref="A10:F10"/>
    <mergeCell ref="A11:F12"/>
    <mergeCell ref="A13:F14"/>
    <mergeCell ref="A15:F16"/>
    <mergeCell ref="A17:F17"/>
    <mergeCell ref="A18:F19"/>
    <mergeCell ref="A21:F21"/>
    <mergeCell ref="A22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2026-04-28T15:43:42Z</dcterms:created>
  <dc:creator>openpyxl</dc:creator>
  <dc:description/>
  <dc:language>en-US</dc:language>
  <cp:lastModifiedBy/>
  <dcterms:modified xsi:type="dcterms:W3CDTF">2026-04-28T15:43:42Z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