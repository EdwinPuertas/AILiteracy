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icitudes_soporte" sheetId="1" state="visible" r:id="rId3"/>
    <sheet name="diccionario_datos" sheetId="2" state="visible" r:id="rId4"/>
    <sheet name="ficha_flujo_react" sheetId="3" state="visible" r:id="rId5"/>
    <sheet name="mapa_acciones_agen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<sst xmlns="http://schemas.openxmlformats.org/spreadsheetml/2006/main" count="397" uniqueCount="228">
  <si>
    <t xml:space="preserve">UTB · Taller S6 · Dataset: solicitudes_soporte_sinteticas.xlsx · 30 registros ficticios</t>
  </si>
  <si>
    <t xml:space="preserve">Sesión 6 · ReAct: Razonamiento más Acción · Todos los datos son FICTICIOS</t>
  </si>
  <si>
    <t xml:space="preserve">ID Solicitud</t>
  </si>
  <si>
    <t xml:space="preserve">Canal</t>
  </si>
  <si>
    <t xml:space="preserve">Tipo Solicitud</t>
  </si>
  <si>
    <t xml:space="preserve">Reclamos Previos</t>
  </si>
  <si>
    <t xml:space="preserve">Tiempo Espera (h)</t>
  </si>
  <si>
    <t xml:space="preserve">Urgencia</t>
  </si>
  <si>
    <t xml:space="preserve">Estado Agente</t>
  </si>
  <si>
    <t xml:space="preserve">Acción Tomada</t>
  </si>
  <si>
    <t xml:space="preserve">¿Escalar?</t>
  </si>
  <si>
    <t xml:space="preserve">id_solicitud</t>
  </si>
  <si>
    <t xml:space="preserve">canal</t>
  </si>
  <si>
    <t xml:space="preserve">tipo_solicitud</t>
  </si>
  <si>
    <t xml:space="preserve">reclamos_previos</t>
  </si>
  <si>
    <t xml:space="preserve">tiempo_espera_horas</t>
  </si>
  <si>
    <t xml:space="preserve">urgencia</t>
  </si>
  <si>
    <t xml:space="preserve">estado_agente</t>
  </si>
  <si>
    <t xml:space="preserve">accion_tomada</t>
  </si>
  <si>
    <t xml:space="preserve">escalar</t>
  </si>
  <si>
    <t xml:space="preserve">SOL-001</t>
  </si>
  <si>
    <t xml:space="preserve">Telefónico</t>
  </si>
  <si>
    <t xml:space="preserve">Sistema</t>
  </si>
  <si>
    <t xml:space="preserve">Alta</t>
  </si>
  <si>
    <t xml:space="preserve">Resuelto</t>
  </si>
  <si>
    <t xml:space="preserve">generar_respuesta</t>
  </si>
  <si>
    <t xml:space="preserve">Sí</t>
  </si>
  <si>
    <t xml:space="preserve">SOL-002</t>
  </si>
  <si>
    <t xml:space="preserve">Otros</t>
  </si>
  <si>
    <t xml:space="preserve">Media</t>
  </si>
  <si>
    <t xml:space="preserve">En proceso</t>
  </si>
  <si>
    <t xml:space="preserve">clasificar</t>
  </si>
  <si>
    <t xml:space="preserve">No</t>
  </si>
  <si>
    <t xml:space="preserve">SOL-003</t>
  </si>
  <si>
    <t xml:space="preserve">Web</t>
  </si>
  <si>
    <t xml:space="preserve">Datos</t>
  </si>
  <si>
    <t xml:space="preserve">Baja</t>
  </si>
  <si>
    <t xml:space="preserve">buscar_faq</t>
  </si>
  <si>
    <t xml:space="preserve">SOL-004</t>
  </si>
  <si>
    <t xml:space="preserve">Presencial</t>
  </si>
  <si>
    <t xml:space="preserve">Acceso</t>
  </si>
  <si>
    <t xml:space="preserve">SOL-005</t>
  </si>
  <si>
    <t xml:space="preserve">App</t>
  </si>
  <si>
    <t xml:space="preserve">Escalado</t>
  </si>
  <si>
    <t xml:space="preserve">consultar_ticket</t>
  </si>
  <si>
    <t xml:space="preserve">SOL-006</t>
  </si>
  <si>
    <t xml:space="preserve">SOL-007</t>
  </si>
  <si>
    <t xml:space="preserve">SOL-008</t>
  </si>
  <si>
    <t xml:space="preserve">escalar_a_humano</t>
  </si>
  <si>
    <t xml:space="preserve">SOL-009</t>
  </si>
  <si>
    <t xml:space="preserve">Facturación</t>
  </si>
  <si>
    <t xml:space="preserve">SOL-010</t>
  </si>
  <si>
    <t xml:space="preserve">Pendiente</t>
  </si>
  <si>
    <t xml:space="preserve">SOL-011</t>
  </si>
  <si>
    <t xml:space="preserve">validar</t>
  </si>
  <si>
    <t xml:space="preserve">SOL-012</t>
  </si>
  <si>
    <t xml:space="preserve">SOL-013</t>
  </si>
  <si>
    <t xml:space="preserve">SOL-014</t>
  </si>
  <si>
    <t xml:space="preserve">SOL-015</t>
  </si>
  <si>
    <t xml:space="preserve">SOL-016</t>
  </si>
  <si>
    <t xml:space="preserve">SOL-017</t>
  </si>
  <si>
    <t xml:space="preserve">SOL-018</t>
  </si>
  <si>
    <t xml:space="preserve">SOL-019</t>
  </si>
  <si>
    <t xml:space="preserve">SOL-020</t>
  </si>
  <si>
    <t xml:space="preserve">SOL-021</t>
  </si>
  <si>
    <t xml:space="preserve">SOL-022</t>
  </si>
  <si>
    <t xml:space="preserve">SOL-023</t>
  </si>
  <si>
    <t xml:space="preserve">SOL-024</t>
  </si>
  <si>
    <t xml:space="preserve">SOL-025</t>
  </si>
  <si>
    <t xml:space="preserve">SOL-026</t>
  </si>
  <si>
    <t xml:space="preserve">SOL-027</t>
  </si>
  <si>
    <t xml:space="preserve">SOL-028</t>
  </si>
  <si>
    <t xml:space="preserve">SOL-029</t>
  </si>
  <si>
    <t xml:space="preserve">SOL-030</t>
  </si>
  <si>
    <t xml:space="preserve">ESTADÍSTICAS RESUMEN</t>
  </si>
  <si>
    <t xml:space="preserve">Tiempo promedio de espera (horas)</t>
  </si>
  <si>
    <t xml:space="preserve">Solicitudes urgencia Alta</t>
  </si>
  <si>
    <t xml:space="preserve">Solicitudes a escalar</t>
  </si>
  <si>
    <t xml:space="preserve">Solicitudes resueltas</t>
  </si>
  <si>
    <t xml:space="preserve">Solicitudes pendientes</t>
  </si>
  <si>
    <t xml:space="preserve">Tiempo espera máximo (h)</t>
  </si>
  <si>
    <t xml:space="preserve">UTB · Diccionario de Datos: solicitudes_soporte_sinteticas.xlsx</t>
  </si>
  <si>
    <t xml:space="preserve">Sesión 6 · ReAct · Referencia para construir prompts y flujos de agente</t>
  </si>
  <si>
    <t xml:space="preserve">Campo (nombre técnico)</t>
  </si>
  <si>
    <t xml:space="preserve">Tipo de dato</t>
  </si>
  <si>
    <t xml:space="preserve">Valores / Rango</t>
  </si>
  <si>
    <t xml:space="preserve">Descripción del campo</t>
  </si>
  <si>
    <t xml:space="preserve">Uso en el flujo ReAct</t>
  </si>
  <si>
    <t xml:space="preserve">Ejemplo de instrucción al agente</t>
  </si>
  <si>
    <t xml:space="preserve">Acción ReAct sugerida</t>
  </si>
  <si>
    <t xml:space="preserve">Texto</t>
  </si>
  <si>
    <t xml:space="preserve">SOL-001 a SOL-030</t>
  </si>
  <si>
    <t xml:space="preserve">Identificador único de la solicitud. Sirve para recuperar contexto histórico del caso.</t>
  </si>
  <si>
    <t xml:space="preserve">El agente usa el ID para consultar el historial completo de la solicitud antes de actuar.</t>
  </si>
  <si>
    <t xml:space="preserve">Si tienes el ID, invoca: consultar_ticket(id='SOL-XXX')</t>
  </si>
  <si>
    <t xml:space="preserve">consultar</t>
  </si>
  <si>
    <t xml:space="preserve">Categórico</t>
  </si>
  <si>
    <t xml:space="preserve">App / Web / Presencial / Telefónico</t>
  </si>
  <si>
    <t xml:space="preserve">Canal por el que llegó la solicitud. Determina el protocolo de respuesta y el formato esperado.</t>
  </si>
  <si>
    <t xml:space="preserve">Condicionar el tono y el canal de respuesta: App requiere respuesta corta, Presencial puede incluir guía paso a paso.</t>
  </si>
  <si>
    <t xml:space="preserve">Si canal='App', generar respuesta concisa &lt; 150 palabras.</t>
  </si>
  <si>
    <t xml:space="preserve">clasificar / generar</t>
  </si>
  <si>
    <t xml:space="preserve">Acceso, Facturación, Datos, Sistema, Otros</t>
  </si>
  <si>
    <t xml:space="preserve">Categoría del problema técnico. Determina qué herramienta o FAQ consultar en el ciclo Action.</t>
  </si>
  <si>
    <t xml:space="preserve">El primer Thought del agente debe razonar sobre el tipo para decidir qué buscar.</t>
  </si>
  <si>
    <t xml:space="preserve">Thought: 'El tipo es Acceso. Debo buscar en la FAQ de problemas de autenticación.'</t>
  </si>
  <si>
    <t xml:space="preserve">buscar</t>
  </si>
  <si>
    <t xml:space="preserve">Entero (0–4)</t>
  </si>
  <si>
    <t xml:space="preserve">0 = nuevo usuario, 4 = usuario con historial crítico</t>
  </si>
  <si>
    <t xml:space="preserve">Número de reclamos previos del mismo usuario. Un valor alto (≥3) indica usuario en riesgo de abandono.</t>
  </si>
  <si>
    <t xml:space="preserve">Condicionar la decisión de escalar: si reclamos_previos ≥ 3, escalar directamente.</t>
  </si>
  <si>
    <t xml:space="preserve">Si reclamos_previos &gt;= 3: Action: escalar_a_humano(nivel=2, motivo='usuario recurrente')</t>
  </si>
  <si>
    <t xml:space="preserve">Decimal (0.5–96)</t>
  </si>
  <si>
    <t xml:space="preserve">0.5h = 30 min · 96h = 4 días</t>
  </si>
  <si>
    <t xml:space="preserve">Horas que lleva la solicitud sin respuesta. Determina la urgencia real de actuación.</t>
  </si>
  <si>
    <t xml:space="preserve">Umbral de escalamiento automático: si tiempo_espera_horas &gt; 48, escalar sin importar urgencia.</t>
  </si>
  <si>
    <t xml:space="preserve">If tiempo_espera_horas &gt; 48: priority_escalation = True</t>
  </si>
  <si>
    <t xml:space="preserve">validar / escalar</t>
  </si>
  <si>
    <t xml:space="preserve">Alta / Media / Baja</t>
  </si>
  <si>
    <t xml:space="preserve">Nivel de urgencia asignado por el sistema al ingresar la solicitud. Alta puede implicar SLA de 4 horas.</t>
  </si>
  <si>
    <t xml:space="preserve">El agente prioriza acciones según urgencia: Alta → máx. 2 ciclos antes de escalar.</t>
  </si>
  <si>
    <t xml:space="preserve">Thought: 'Urgencia Alta + tiempo_espera &gt; 12h → debo resolver en este ciclo o escalar.'</t>
  </si>
  <si>
    <t xml:space="preserve">Pendiente, En proceso, Resuelto, Escalado</t>
  </si>
  <si>
    <t xml:space="preserve">Estado actual de gestión. Pendiente = no atendida. En proceso = ciclos activos. Resuelto/Escalado = terminada.</t>
  </si>
  <si>
    <t xml:space="preserve">El agente debe actualizar este estado al final de cada ciclo exitoso.</t>
  </si>
  <si>
    <t xml:space="preserve">Final Answer incluye: actualizar_estado(id=..., nuevo_estado='Resuelto')</t>
  </si>
  <si>
    <t xml:space="preserve">generar / validar</t>
  </si>
  <si>
    <t xml:space="preserve">Texto libre</t>
  </si>
  <si>
    <t xml:space="preserve">Nombre de la última acción o vacío</t>
  </si>
  <si>
    <t xml:space="preserve">Registra la última acción del agente. Vacío = solicitud no atendida.</t>
  </si>
  <si>
    <t xml:space="preserve">Si accion_tomada está vacío, es la primera intervención del agente — comenzar desde Thought inicial.</t>
  </si>
  <si>
    <t xml:space="preserve">Si accion_tomada='' → primer ciclo: Thought: '¿Cuál es el problema? Debo consultar el ticket.'</t>
  </si>
  <si>
    <t xml:space="preserve">buscar / consultar</t>
  </si>
  <si>
    <t xml:space="preserve">Binario (Sí/No)</t>
  </si>
  <si>
    <t xml:space="preserve">Sí = requiere humano · No = puede resolver el agente</t>
  </si>
  <si>
    <t xml:space="preserve">Bandera calculada: Sí si reclamos_previos≥3 o espera&gt;48h o (Alta y espera&gt;12h).</t>
  </si>
  <si>
    <t xml:space="preserve">Variable de decisión final del agente: si escalar='Sí', la acción final es escalar_a_humano.</t>
  </si>
  <si>
    <t xml:space="preserve">Si escalar='Sí': Action: escalar_a_humano(nivel=2, motivo=...) como última acción.</t>
  </si>
  <si>
    <t xml:space="preserve">UTB · Ficha de Trabajo: Diseño de Flujo ReAct para Soporte Técnico</t>
  </si>
  <si>
    <t xml:space="preserve">Sesión 6 · Bloques 4 y 5 · Completa esta ficha durante el taller</t>
  </si>
  <si>
    <t xml:space="preserve">Nombre: ___________________________________</t>
  </si>
  <si>
    <t xml:space="preserve">Tipo solicitud elegida: ___________________</t>
  </si>
  <si>
    <t xml:space="preserve">MI PROMPT REACT (4 bloques)</t>
  </si>
  <si>
    <t xml:space="preserve">1 — ROL + CONTEXTO</t>
  </si>
  <si>
    <t xml:space="preserve">Hint: Eres un agente de soporte de... Tu objetivo es...</t>
  </si>
  <si>
    <t xml:space="preserve">2 — HERRAMIENTAS</t>
  </si>
  <si>
    <t xml:space="preserve">Hint: buscar_faq(), consultar_ticket(), clasificar(), generar_respuesta(), validar(), escalar()</t>
  </si>
  <si>
    <t xml:space="preserve">3 — FORMATO T/A/O</t>
  </si>
  <si>
    <t xml:space="preserve">Hint: Thought: [...] / Action: nombre(params) / Observation: [...] / Repeat / Answer: [...]</t>
  </si>
  <si>
    <t xml:space="preserve">4 — SOLICITUD</t>
  </si>
  <si>
    <t xml:space="preserve">Hint: La solicitud es SOL-XXX. Canal: ... Tipo: ... Urgencia: ... Tiempo espera: ... h</t>
  </si>
  <si>
    <t xml:space="preserve">REGISTRO DE CICLOS — 3 iteraciones completas</t>
  </si>
  <si>
    <t xml:space="preserve">Ciclo</t>
  </si>
  <si>
    <t xml:space="preserve">Thought (razonamiento)</t>
  </si>
  <si>
    <t xml:space="preserve">Action (acción)</t>
  </si>
  <si>
    <t xml:space="preserve">Observation (resultado)</t>
  </si>
  <si>
    <t xml:space="preserve">¿Resuelto?</t>
  </si>
  <si>
    <t xml:space="preserve">C1</t>
  </si>
  <si>
    <t xml:space="preserve">C2</t>
  </si>
  <si>
    <t xml:space="preserve">C3</t>
  </si>
  <si>
    <t xml:space="preserve">RESPUESTA FINAL Y EVALUACIÓN</t>
  </si>
  <si>
    <t xml:space="preserve">Respuesta final al usuario</t>
  </si>
  <si>
    <t xml:space="preserve">Número de ciclos utilizados</t>
  </si>
  <si>
    <t xml:space="preserve">¿Se escaló a humano? Si/No — por qué</t>
  </si>
  <si>
    <t xml:space="preserve">¿Qué mejorarías del prompt?</t>
  </si>
  <si>
    <t xml:space="preserve">UTB · Mapa de Acciones de un Agente ReAct — Referencia para el Taller</t>
  </si>
  <si>
    <t xml:space="preserve">Sesión 6 · Usa esta hoja como referencia al diseñar tu prompt ReAct</t>
  </si>
  <si>
    <t xml:space="preserve">Tipo de Acción</t>
  </si>
  <si>
    <t xml:space="preserve">Función/Comando</t>
  </si>
  <si>
    <t xml:space="preserve">Parámetros típicos</t>
  </si>
  <si>
    <t xml:space="preserve">¿Qué devuelve?</t>
  </si>
  <si>
    <t xml:space="preserve">Cuándo usarla (Thought que la activa)</t>
  </si>
  <si>
    <t xml:space="preserve">Nivel de autonomía</t>
  </si>
  <si>
    <t xml:space="preserve">¿Requiere validación?</t>
  </si>
  <si>
    <t xml:space="preserve">Buscar</t>
  </si>
  <si>
    <t xml:space="preserve">buscar_faq(query)</t>
  </si>
  <si>
    <t xml:space="preserve">query: texto de la duda o problema</t>
  </si>
  <si>
    <t xml:space="preserve">Lista de resultados relevantes de la FAQ o KB</t>
  </si>
  <si>
    <t xml:space="preserve">Thought: 'No conozco la solución — debo buscar en la base de conocimiento'</t>
  </si>
  <si>
    <t xml:space="preserve">Nivel 1 — Lectura</t>
  </si>
  <si>
    <t xml:space="preserve">Consultar</t>
  </si>
  <si>
    <t xml:space="preserve">consultar_ticket(id)</t>
  </si>
  <si>
    <t xml:space="preserve">id: identificador de la solicitud</t>
  </si>
  <si>
    <t xml:space="preserve">Historial, estado, área, reclamos previos</t>
  </si>
  <si>
    <t xml:space="preserve">Thought: 'Necesito más contexto del caso antes de actuar'</t>
  </si>
  <si>
    <t xml:space="preserve">Clasificar</t>
  </si>
  <si>
    <t xml:space="preserve">clasificar(texto, categorias)</t>
  </si>
  <si>
    <t xml:space="preserve">texto: contenido de la solicitud; categorias: lista</t>
  </si>
  <si>
    <t xml:space="preserve">Categoría asignada + nivel de confianza</t>
  </si>
  <si>
    <t xml:space="preserve">Thought: 'Necesito saber qué tipo de problema es para elegir la herramienta correcta'</t>
  </si>
  <si>
    <t xml:space="preserve">Generar</t>
  </si>
  <si>
    <t xml:space="preserve">generar_respuesta(contexto, tono)</t>
  </si>
  <si>
    <t xml:space="preserve">contexto: resumen del caso; tono: formal/empático/técnico</t>
  </si>
  <si>
    <t xml:space="preserve">Texto de respuesta listo para enviar</t>
  </si>
  <si>
    <t xml:space="preserve">Thought: 'Ya tengo suficiente información — debo redactar la respuesta'</t>
  </si>
  <si>
    <t xml:space="preserve">Nivel 2 — Generación</t>
  </si>
  <si>
    <t xml:space="preserve">Sí — validar antes de enviar</t>
  </si>
  <si>
    <t xml:space="preserve">Validar</t>
  </si>
  <si>
    <t xml:space="preserve">validar(texto, politica)</t>
  </si>
  <si>
    <t xml:space="preserve">texto: respuesta generada; política: nombre del protocolo</t>
  </si>
  <si>
    <t xml:space="preserve">Aprobado/Rechazado + sugerencias de mejora</t>
  </si>
  <si>
    <t xml:space="preserve">Thought: 'La respuesta está lista — debo verificar que cumpla el protocolo'</t>
  </si>
  <si>
    <t xml:space="preserve">No — es la validación misma</t>
  </si>
  <si>
    <t xml:space="preserve">Escalar</t>
  </si>
  <si>
    <t xml:space="preserve">escalar_a_humano(nivel, motivo)</t>
  </si>
  <si>
    <t xml:space="preserve">nivel: 1/2/3; motivo: razón del escalamiento</t>
  </si>
  <si>
    <t xml:space="preserve">Confirmación de asignación al agente humano</t>
  </si>
  <si>
    <t xml:space="preserve">Thought: 'No puedo resolver esto en los ciclos disponibles / caso crítico / política lo requiere'</t>
  </si>
  <si>
    <t xml:space="preserve">Nivel 4 — Escalamiento</t>
  </si>
  <si>
    <t xml:space="preserve">Sí — siempre requiere registro</t>
  </si>
  <si>
    <t xml:space="preserve">Actualizar estado</t>
  </si>
  <si>
    <t xml:space="preserve">actualizar_estado(id, estado)</t>
  </si>
  <si>
    <t xml:space="preserve">id: solicitud; estado: Resuelto/Escalado/En proceso</t>
  </si>
  <si>
    <t xml:space="preserve">Confirmación de actualización</t>
  </si>
  <si>
    <t xml:space="preserve">Thought: 'El caso está resuelto — debo cerrar el ticket correctamente'</t>
  </si>
  <si>
    <t xml:space="preserve">Nivel 3 — Escritura</t>
  </si>
  <si>
    <t xml:space="preserve">Sí — verificar antes</t>
  </si>
  <si>
    <t xml:space="preserve">REGLAS DE ESCALAMIENTO AUTOMÁTICO</t>
  </si>
  <si>
    <t xml:space="preserve">SI: reclamos_previos &gt;= 3</t>
  </si>
  <si>
    <t xml:space="preserve">ENTONCES: escalar_a_humano(nivel=2, motivo='usuario recurrente')</t>
  </si>
  <si>
    <t xml:space="preserve">SI: tiempo_espera_horas &gt; 48</t>
  </si>
  <si>
    <t xml:space="preserve">ENTONCES: escalar_a_humano(nivel=2, motivo='SLA crítico superado')</t>
  </si>
  <si>
    <t xml:space="preserve">SI: urgencia='Alta' Y tiempo_espera &gt; 12</t>
  </si>
  <si>
    <t xml:space="preserve">ENTONCES: escalar_a_humano(nivel=1, motivo='Alta urgencia sin atender')</t>
  </si>
  <si>
    <t xml:space="preserve">SI: 3 ciclos sin resolución</t>
  </si>
  <si>
    <t xml:space="preserve">ENTONCES: escalar_a_humano(nivel=2, motivo='Límite de ciclos alcanzado')</t>
  </si>
  <si>
    <t xml:space="preserve">SI: Solicitud de tipo sensible (datos personales)</t>
  </si>
  <si>
    <t xml:space="preserve">ENTONCES: escalar_a_humano(nivel=3, motivo='Política de privacidad')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</si>
</sst>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E8E9F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AABBDD"/>
      <name val="Calibri"/>
      <family val="0"/>
      <charset val="1"/>
    </font>
    <font>
      <sz val="10"/>
      <color rgb="FF231F20"/>
      <name val="Calibri"/>
      <family val="0"/>
      <charset val="1"/>
    </font>
    <font>
      <sz val="10"/>
      <color rgb="FFD97706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sz val="10"/>
      <color rgb="FF238241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303990"/>
      <name val="Calibri"/>
      <family val="0"/>
      <charset val="1"/>
    </font>
    <font>
      <b val="true"/>
      <sz val="10"/>
      <color rgb="FF238241"/>
      <name val="Calibri"/>
      <family val="0"/>
      <charset val="1"/>
    </font>
    <font>
      <b val="true"/>
      <sz val="9"/>
      <color rgb="FF5560A8"/>
      <name val="Calibri"/>
      <family val="0"/>
      <charset val="1"/>
    </font>
    <font>
      <sz val="9"/>
      <color rgb="FF231F20"/>
      <name val="Calibri"/>
      <family val="0"/>
      <charset val="1"/>
    </font>
    <font>
      <i val="true"/>
      <sz val="9"/>
      <color rgb="FF238241"/>
      <name val="Calibri"/>
      <family val="0"/>
      <charset val="1"/>
    </font>
    <font>
      <i val="true"/>
      <sz val="9"/>
      <color rgb="FF303990"/>
      <name val="Calibri"/>
      <family val="0"/>
      <charset val="1"/>
    </font>
    <font>
      <b val="true"/>
      <sz val="9"/>
      <color rgb="FFD97706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i val="true"/>
      <sz val="9"/>
      <color rgb="FF303990"/>
      <name val="Calibri"/>
      <family val="0"/>
      <charset val="1"/>
    </font>
    <font>
      <b val="true"/>
      <sz val="9"/>
      <color rgb="FF303990"/>
      <name val="Calibri"/>
      <family val="0"/>
      <charset val="1"/>
    </font>
    <font>
      <b val="true"/>
      <sz val="9"/>
      <color rgb="FF238241"/>
      <name val="Calibri"/>
      <family val="0"/>
      <charset val="1"/>
    </font>
    <font>
      <b val="true"/>
      <i val="true"/>
      <sz val="9"/>
      <color rgb="FF238241"/>
      <name val="Calibri"/>
      <family val="0"/>
      <charset val="1"/>
    </font>
    <font>
      <b val="true"/>
      <i val="true"/>
      <sz val="9"/>
      <color rgb="FFD97706"/>
      <name val="Calibri"/>
      <family val="0"/>
      <charset val="1"/>
    </font>
    <font>
      <b val="true"/>
      <sz val="9"/>
      <color rgb="FFDC2626"/>
      <name val="Calibri"/>
      <family val="0"/>
      <charset val="1"/>
    </font>
    <font>
      <b val="true"/>
      <i val="true"/>
      <sz val="9"/>
      <color rgb="FFDC2626"/>
      <name val="Calibri"/>
      <family val="0"/>
      <charset val="1"/>
    </font>
    <font>
      <i val="true"/>
      <sz val="10"/>
      <color rgb="FFDC2626"/>
      <name val="Calibri"/>
      <family val="0"/>
      <charset val="1"/>
    </font>
    <font>
      <i val="true"/>
      <sz val="10"/>
      <color rgb="FFD97706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03990"/>
        <bgColor rgb="FF1A3278"/>
      </patternFill>
    </fill>
    <fill>
      <patternFill patternType="solid">
        <fgColor rgb="FF5560A8"/>
        <bgColor rgb="FF64748B"/>
      </patternFill>
    </fill>
    <fill>
      <patternFill patternType="solid">
        <fgColor rgb="FF1A3278"/>
        <bgColor rgb="FF303990"/>
      </patternFill>
    </fill>
    <fill>
      <patternFill patternType="solid">
        <fgColor rgb="FFFFFFFF"/>
        <bgColor rgb="FFF5F5F5"/>
      </patternFill>
    </fill>
    <fill>
      <patternFill patternType="solid">
        <fgColor rgb="FFFEE2E2"/>
        <bgColor rgb="FFE8E9F5"/>
      </patternFill>
    </fill>
    <fill>
      <patternFill patternType="solid">
        <fgColor rgb="FFF5F5F5"/>
        <bgColor rgb="FFE6F4EA"/>
      </patternFill>
    </fill>
    <fill>
      <patternFill patternType="solid">
        <fgColor rgb="FFFEF3C7"/>
        <bgColor rgb="FFFEE2E2"/>
      </patternFill>
    </fill>
    <fill>
      <patternFill patternType="solid">
        <fgColor rgb="FFE8E9F5"/>
        <bgColor rgb="FFE6F4EA"/>
      </patternFill>
    </fill>
    <fill>
      <patternFill patternType="solid">
        <fgColor rgb="FFE6F4EA"/>
        <bgColor rgb="FFF5F5F5"/>
      </patternFill>
    </fill>
    <fill>
      <patternFill patternType="solid">
        <fgColor rgb="FF238241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303990"/>
      </left>
      <right style="thin">
        <color rgb="FF303990"/>
      </right>
      <top style="thin">
        <color rgb="FF303990"/>
      </top>
      <bottom style="thin">
        <color rgb="FF30399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303990"/>
      </left>
      <right/>
      <top style="thin">
        <color rgb="FF303990"/>
      </top>
      <bottom style="thin">
        <color rgb="FF303990"/>
      </bottom>
      <diagonal/>
    </border>
    <border diagonalUp="false" diagonalDown="false">
      <left style="thin">
        <color rgb="FF238241"/>
      </left>
      <right style="thin">
        <color rgb="FF238241"/>
      </right>
      <top style="thin">
        <color rgb="FF238241"/>
      </top>
      <bottom style="thin">
        <color rgb="FF238241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238241"/>
      </left>
      <right/>
      <top style="thin">
        <color rgb="FF238241"/>
      </top>
      <bottom style="thin">
        <color rgb="FF238241"/>
      </bottom>
      <diagonal/>
    </border>
    <border diagonalUp="false" diagonalDown="false">
      <left style="thin">
        <color rgb="FFDDDDDD"/>
      </left>
      <right/>
      <top style="thin">
        <color rgb="FFDDDDDD"/>
      </top>
      <bottom/>
      <diagonal/>
    </border>
    <border diagonalUp="false" diagonalDown="false">
      <left style="thin">
        <color rgb="FFDC2626"/>
      </left>
      <right/>
      <top style="thin">
        <color rgb="FFDC2626"/>
      </top>
      <bottom style="thin">
        <color rgb="FFDC2626"/>
      </bottom>
      <diagonal/>
    </border>
    <border diagonalUp="false" diagonalDown="false">
      <left style="thin">
        <color rgb="FFD97706"/>
      </left>
      <right/>
      <top style="thin">
        <color rgb="FFD97706"/>
      </top>
      <bottom style="thin">
        <color rgb="FFD9770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D"/>
      <rgbColor rgb="FF64748B"/>
      <rgbColor rgb="FF9999FF"/>
      <rgbColor rgb="FF993366"/>
      <rgbColor rgb="FFFEF3C7"/>
      <rgbColor rgb="FFE6F4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F5"/>
      <rgbColor rgb="FFF5F5F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5560A8"/>
      <rgbColor rgb="FF969696"/>
      <rgbColor rgb="FF1A3278"/>
      <rgbColor rgb="FF238241"/>
      <rgbColor rgb="FF003300"/>
      <rgbColor rgb="FF333300"/>
      <rgbColor rgb="FF993300"/>
      <rgbColor rgb="FF993366"/>
      <rgbColor rgb="FF303990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3990"/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4" t="s">
        <v>3</v>
      </c>
      <c r="C3" s="3" t="s">
        <v>4</v>
      </c>
      <c r="D3" s="4" t="s">
        <v>5</v>
      </c>
      <c r="E3" s="3" t="s">
        <v>6</v>
      </c>
      <c r="F3" s="4" t="s">
        <v>7</v>
      </c>
      <c r="G3" s="3" t="s">
        <v>8</v>
      </c>
      <c r="H3" s="4" t="s">
        <v>9</v>
      </c>
      <c r="I3" s="3" t="s">
        <v>10</v>
      </c>
    </row>
    <row r="4" customFormat="false" ht="15.75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</row>
    <row r="5" customFormat="false" ht="15" hidden="false" customHeight="false" outlineLevel="0" collapsed="false">
      <c r="A5" s="6" t="s">
        <v>20</v>
      </c>
      <c r="B5" s="6" t="s">
        <v>21</v>
      </c>
      <c r="C5" s="7" t="s">
        <v>22</v>
      </c>
      <c r="D5" s="6" t="n">
        <v>0</v>
      </c>
      <c r="E5" s="8" t="n">
        <v>25.4</v>
      </c>
      <c r="F5" s="9" t="s">
        <v>23</v>
      </c>
      <c r="G5" s="10" t="s">
        <v>24</v>
      </c>
      <c r="H5" s="7" t="s">
        <v>25</v>
      </c>
      <c r="I5" s="9" t="s">
        <v>26</v>
      </c>
    </row>
    <row r="6" customFormat="false" ht="15" hidden="false" customHeight="false" outlineLevel="0" collapsed="false">
      <c r="A6" s="11" t="s">
        <v>27</v>
      </c>
      <c r="B6" s="11" t="s">
        <v>21</v>
      </c>
      <c r="C6" s="12" t="s">
        <v>28</v>
      </c>
      <c r="D6" s="11" t="n">
        <v>1</v>
      </c>
      <c r="E6" s="13" t="n">
        <v>22.6</v>
      </c>
      <c r="F6" s="14" t="s">
        <v>29</v>
      </c>
      <c r="G6" s="11" t="s">
        <v>30</v>
      </c>
      <c r="H6" s="12" t="s">
        <v>31</v>
      </c>
      <c r="I6" s="15" t="s">
        <v>32</v>
      </c>
    </row>
    <row r="7" customFormat="false" ht="15" hidden="false" customHeight="false" outlineLevel="0" collapsed="false">
      <c r="A7" s="6" t="s">
        <v>33</v>
      </c>
      <c r="B7" s="6" t="s">
        <v>34</v>
      </c>
      <c r="C7" s="7" t="s">
        <v>35</v>
      </c>
      <c r="D7" s="6" t="n">
        <v>2</v>
      </c>
      <c r="E7" s="6" t="n">
        <v>2.9</v>
      </c>
      <c r="F7" s="10" t="s">
        <v>36</v>
      </c>
      <c r="G7" s="6" t="s">
        <v>30</v>
      </c>
      <c r="H7" s="7" t="s">
        <v>37</v>
      </c>
      <c r="I7" s="10" t="s">
        <v>32</v>
      </c>
    </row>
    <row r="8" customFormat="false" ht="15" hidden="false" customHeight="false" outlineLevel="0" collapsed="false">
      <c r="A8" s="11" t="s">
        <v>38</v>
      </c>
      <c r="B8" s="11" t="s">
        <v>39</v>
      </c>
      <c r="C8" s="12" t="s">
        <v>40</v>
      </c>
      <c r="D8" s="16" t="n">
        <v>3</v>
      </c>
      <c r="E8" s="13" t="n">
        <v>18.7</v>
      </c>
      <c r="F8" s="14" t="s">
        <v>29</v>
      </c>
      <c r="G8" s="11" t="s">
        <v>30</v>
      </c>
      <c r="H8" s="12" t="s">
        <v>31</v>
      </c>
      <c r="I8" s="9" t="s">
        <v>26</v>
      </c>
    </row>
    <row r="9" customFormat="false" ht="15" hidden="false" customHeight="false" outlineLevel="0" collapsed="false">
      <c r="A9" s="6" t="s">
        <v>41</v>
      </c>
      <c r="B9" s="6" t="s">
        <v>42</v>
      </c>
      <c r="C9" s="7" t="s">
        <v>35</v>
      </c>
      <c r="D9" s="6" t="n">
        <v>1</v>
      </c>
      <c r="E9" s="6" t="n">
        <v>9</v>
      </c>
      <c r="F9" s="14" t="s">
        <v>29</v>
      </c>
      <c r="G9" s="17" t="s">
        <v>43</v>
      </c>
      <c r="H9" s="7" t="s">
        <v>44</v>
      </c>
      <c r="I9" s="10" t="s">
        <v>32</v>
      </c>
    </row>
    <row r="10" customFormat="false" ht="15" hidden="false" customHeight="false" outlineLevel="0" collapsed="false">
      <c r="A10" s="11" t="s">
        <v>45</v>
      </c>
      <c r="B10" s="11" t="s">
        <v>21</v>
      </c>
      <c r="C10" s="12" t="s">
        <v>28</v>
      </c>
      <c r="D10" s="16" t="n">
        <v>3</v>
      </c>
      <c r="E10" s="13" t="n">
        <v>23.5</v>
      </c>
      <c r="F10" s="14" t="s">
        <v>29</v>
      </c>
      <c r="G10" s="11" t="s">
        <v>30</v>
      </c>
      <c r="H10" s="12" t="s">
        <v>37</v>
      </c>
      <c r="I10" s="9" t="s">
        <v>26</v>
      </c>
    </row>
    <row r="11" customFormat="false" ht="15" hidden="false" customHeight="false" outlineLevel="0" collapsed="false">
      <c r="A11" s="6" t="s">
        <v>46</v>
      </c>
      <c r="B11" s="6" t="s">
        <v>34</v>
      </c>
      <c r="C11" s="7" t="s">
        <v>22</v>
      </c>
      <c r="D11" s="6" t="n">
        <v>1</v>
      </c>
      <c r="E11" s="6" t="n">
        <v>11.4</v>
      </c>
      <c r="F11" s="10" t="s">
        <v>36</v>
      </c>
      <c r="G11" s="10" t="s">
        <v>24</v>
      </c>
      <c r="H11" s="7" t="s">
        <v>44</v>
      </c>
      <c r="I11" s="10" t="s">
        <v>32</v>
      </c>
    </row>
    <row r="12" customFormat="false" ht="15" hidden="false" customHeight="false" outlineLevel="0" collapsed="false">
      <c r="A12" s="11" t="s">
        <v>47</v>
      </c>
      <c r="B12" s="11" t="s">
        <v>42</v>
      </c>
      <c r="C12" s="12" t="s">
        <v>40</v>
      </c>
      <c r="D12" s="11" t="n">
        <v>0</v>
      </c>
      <c r="E12" s="11" t="n">
        <v>10.3</v>
      </c>
      <c r="F12" s="14" t="s">
        <v>29</v>
      </c>
      <c r="G12" s="16" t="s">
        <v>43</v>
      </c>
      <c r="H12" s="12" t="s">
        <v>48</v>
      </c>
      <c r="I12" s="15" t="s">
        <v>32</v>
      </c>
    </row>
    <row r="13" customFormat="false" ht="15" hidden="false" customHeight="false" outlineLevel="0" collapsed="false">
      <c r="A13" s="6" t="s">
        <v>49</v>
      </c>
      <c r="B13" s="6" t="s">
        <v>42</v>
      </c>
      <c r="C13" s="7" t="s">
        <v>50</v>
      </c>
      <c r="D13" s="6" t="n">
        <v>0</v>
      </c>
      <c r="E13" s="8" t="n">
        <v>33</v>
      </c>
      <c r="F13" s="9" t="s">
        <v>23</v>
      </c>
      <c r="G13" s="6" t="s">
        <v>30</v>
      </c>
      <c r="H13" s="7" t="s">
        <v>37</v>
      </c>
      <c r="I13" s="9" t="s">
        <v>26</v>
      </c>
    </row>
    <row r="14" customFormat="false" ht="15" hidden="false" customHeight="false" outlineLevel="0" collapsed="false">
      <c r="A14" s="11" t="s">
        <v>51</v>
      </c>
      <c r="B14" s="11" t="s">
        <v>42</v>
      </c>
      <c r="C14" s="12" t="s">
        <v>50</v>
      </c>
      <c r="D14" s="11" t="n">
        <v>1</v>
      </c>
      <c r="E14" s="13" t="n">
        <v>19.9</v>
      </c>
      <c r="F14" s="14" t="s">
        <v>29</v>
      </c>
      <c r="G14" s="18" t="s">
        <v>52</v>
      </c>
      <c r="H14" s="12"/>
      <c r="I14" s="15" t="s">
        <v>32</v>
      </c>
    </row>
    <row r="15" customFormat="false" ht="15" hidden="false" customHeight="false" outlineLevel="0" collapsed="false">
      <c r="A15" s="6" t="s">
        <v>53</v>
      </c>
      <c r="B15" s="6" t="s">
        <v>21</v>
      </c>
      <c r="C15" s="7" t="s">
        <v>40</v>
      </c>
      <c r="D15" s="6" t="n">
        <v>0</v>
      </c>
      <c r="E15" s="6" t="n">
        <v>7.4</v>
      </c>
      <c r="F15" s="10" t="s">
        <v>36</v>
      </c>
      <c r="G15" s="10" t="s">
        <v>24</v>
      </c>
      <c r="H15" s="7" t="s">
        <v>54</v>
      </c>
      <c r="I15" s="10" t="s">
        <v>32</v>
      </c>
    </row>
    <row r="16" customFormat="false" ht="15" hidden="false" customHeight="false" outlineLevel="0" collapsed="false">
      <c r="A16" s="11" t="s">
        <v>55</v>
      </c>
      <c r="B16" s="11" t="s">
        <v>21</v>
      </c>
      <c r="C16" s="12" t="s">
        <v>40</v>
      </c>
      <c r="D16" s="11" t="n">
        <v>0</v>
      </c>
      <c r="E16" s="13" t="n">
        <v>18.4</v>
      </c>
      <c r="F16" s="9" t="s">
        <v>23</v>
      </c>
      <c r="G16" s="18" t="s">
        <v>52</v>
      </c>
      <c r="H16" s="12"/>
      <c r="I16" s="9" t="s">
        <v>26</v>
      </c>
    </row>
    <row r="17" customFormat="false" ht="15" hidden="false" customHeight="false" outlineLevel="0" collapsed="false">
      <c r="A17" s="6" t="s">
        <v>56</v>
      </c>
      <c r="B17" s="6" t="s">
        <v>34</v>
      </c>
      <c r="C17" s="7" t="s">
        <v>50</v>
      </c>
      <c r="D17" s="17" t="n">
        <v>3</v>
      </c>
      <c r="E17" s="8" t="n">
        <v>12.2</v>
      </c>
      <c r="F17" s="14" t="s">
        <v>29</v>
      </c>
      <c r="G17" s="19" t="s">
        <v>52</v>
      </c>
      <c r="H17" s="7"/>
      <c r="I17" s="9" t="s">
        <v>26</v>
      </c>
    </row>
    <row r="18" customFormat="false" ht="15" hidden="false" customHeight="false" outlineLevel="0" collapsed="false">
      <c r="A18" s="11" t="s">
        <v>57</v>
      </c>
      <c r="B18" s="11" t="s">
        <v>39</v>
      </c>
      <c r="C18" s="12" t="s">
        <v>40</v>
      </c>
      <c r="D18" s="16" t="n">
        <v>3</v>
      </c>
      <c r="E18" s="13" t="n">
        <v>16.4</v>
      </c>
      <c r="F18" s="14" t="s">
        <v>29</v>
      </c>
      <c r="G18" s="11" t="s">
        <v>30</v>
      </c>
      <c r="H18" s="12" t="s">
        <v>44</v>
      </c>
      <c r="I18" s="9" t="s">
        <v>26</v>
      </c>
    </row>
    <row r="19" customFormat="false" ht="15" hidden="false" customHeight="false" outlineLevel="0" collapsed="false">
      <c r="A19" s="6" t="s">
        <v>58</v>
      </c>
      <c r="B19" s="6" t="s">
        <v>42</v>
      </c>
      <c r="C19" s="7" t="s">
        <v>35</v>
      </c>
      <c r="D19" s="6" t="n">
        <v>0</v>
      </c>
      <c r="E19" s="8" t="n">
        <v>19.8</v>
      </c>
      <c r="F19" s="14" t="s">
        <v>29</v>
      </c>
      <c r="G19" s="6" t="s">
        <v>30</v>
      </c>
      <c r="H19" s="7" t="s">
        <v>31</v>
      </c>
      <c r="I19" s="10" t="s">
        <v>32</v>
      </c>
    </row>
    <row r="20" customFormat="false" ht="15" hidden="false" customHeight="false" outlineLevel="0" collapsed="false">
      <c r="A20" s="11" t="s">
        <v>59</v>
      </c>
      <c r="B20" s="11" t="s">
        <v>39</v>
      </c>
      <c r="C20" s="12" t="s">
        <v>28</v>
      </c>
      <c r="D20" s="11" t="n">
        <v>0</v>
      </c>
      <c r="E20" s="11" t="n">
        <v>11.1</v>
      </c>
      <c r="F20" s="15" t="s">
        <v>36</v>
      </c>
      <c r="G20" s="15" t="s">
        <v>24</v>
      </c>
      <c r="H20" s="12" t="s">
        <v>31</v>
      </c>
      <c r="I20" s="15" t="s">
        <v>32</v>
      </c>
    </row>
    <row r="21" customFormat="false" ht="15" hidden="false" customHeight="false" outlineLevel="0" collapsed="false">
      <c r="A21" s="6" t="s">
        <v>60</v>
      </c>
      <c r="B21" s="6" t="s">
        <v>21</v>
      </c>
      <c r="C21" s="7" t="s">
        <v>50</v>
      </c>
      <c r="D21" s="6" t="n">
        <v>0</v>
      </c>
      <c r="E21" s="8" t="n">
        <v>15.9</v>
      </c>
      <c r="F21" s="14" t="s">
        <v>29</v>
      </c>
      <c r="G21" s="6" t="s">
        <v>30</v>
      </c>
      <c r="H21" s="7"/>
      <c r="I21" s="10" t="s">
        <v>32</v>
      </c>
    </row>
    <row r="22" customFormat="false" ht="15" hidden="false" customHeight="false" outlineLevel="0" collapsed="false">
      <c r="A22" s="11" t="s">
        <v>61</v>
      </c>
      <c r="B22" s="11" t="s">
        <v>39</v>
      </c>
      <c r="C22" s="12" t="s">
        <v>50</v>
      </c>
      <c r="D22" s="11" t="n">
        <v>2</v>
      </c>
      <c r="E22" s="13" t="n">
        <v>17.2</v>
      </c>
      <c r="F22" s="14" t="s">
        <v>29</v>
      </c>
      <c r="G22" s="11" t="s">
        <v>30</v>
      </c>
      <c r="H22" s="12" t="s">
        <v>31</v>
      </c>
      <c r="I22" s="15" t="s">
        <v>32</v>
      </c>
    </row>
    <row r="23" customFormat="false" ht="15" hidden="false" customHeight="false" outlineLevel="0" collapsed="false">
      <c r="A23" s="6" t="s">
        <v>62</v>
      </c>
      <c r="B23" s="6" t="s">
        <v>42</v>
      </c>
      <c r="C23" s="7" t="s">
        <v>22</v>
      </c>
      <c r="D23" s="6" t="n">
        <v>1</v>
      </c>
      <c r="E23" s="6" t="n">
        <v>1.3</v>
      </c>
      <c r="F23" s="10" t="s">
        <v>36</v>
      </c>
      <c r="G23" s="19" t="s">
        <v>52</v>
      </c>
      <c r="H23" s="7"/>
      <c r="I23" s="10" t="s">
        <v>32</v>
      </c>
    </row>
    <row r="24" customFormat="false" ht="15" hidden="false" customHeight="false" outlineLevel="0" collapsed="false">
      <c r="A24" s="11" t="s">
        <v>63</v>
      </c>
      <c r="B24" s="11" t="s">
        <v>39</v>
      </c>
      <c r="C24" s="12" t="s">
        <v>22</v>
      </c>
      <c r="D24" s="11" t="n">
        <v>1</v>
      </c>
      <c r="E24" s="11" t="n">
        <v>3.5</v>
      </c>
      <c r="F24" s="15" t="s">
        <v>36</v>
      </c>
      <c r="G24" s="15" t="s">
        <v>24</v>
      </c>
      <c r="H24" s="12" t="s">
        <v>31</v>
      </c>
      <c r="I24" s="15" t="s">
        <v>32</v>
      </c>
    </row>
    <row r="25" customFormat="false" ht="15" hidden="false" customHeight="false" outlineLevel="0" collapsed="false">
      <c r="A25" s="6" t="s">
        <v>64</v>
      </c>
      <c r="B25" s="6" t="s">
        <v>34</v>
      </c>
      <c r="C25" s="7" t="s">
        <v>35</v>
      </c>
      <c r="D25" s="6" t="n">
        <v>0</v>
      </c>
      <c r="E25" s="8" t="n">
        <v>20.8</v>
      </c>
      <c r="F25" s="14" t="s">
        <v>29</v>
      </c>
      <c r="G25" s="6" t="s">
        <v>30</v>
      </c>
      <c r="H25" s="7" t="s">
        <v>48</v>
      </c>
      <c r="I25" s="10" t="s">
        <v>32</v>
      </c>
    </row>
    <row r="26" customFormat="false" ht="15" hidden="false" customHeight="false" outlineLevel="0" collapsed="false">
      <c r="A26" s="11" t="s">
        <v>65</v>
      </c>
      <c r="B26" s="11" t="s">
        <v>21</v>
      </c>
      <c r="C26" s="12" t="s">
        <v>50</v>
      </c>
      <c r="D26" s="11" t="n">
        <v>0</v>
      </c>
      <c r="E26" s="11" t="n">
        <v>4.5</v>
      </c>
      <c r="F26" s="15" t="s">
        <v>36</v>
      </c>
      <c r="G26" s="15" t="s">
        <v>24</v>
      </c>
      <c r="H26" s="12" t="s">
        <v>48</v>
      </c>
      <c r="I26" s="15" t="s">
        <v>32</v>
      </c>
    </row>
    <row r="27" customFormat="false" ht="15" hidden="false" customHeight="false" outlineLevel="0" collapsed="false">
      <c r="A27" s="6" t="s">
        <v>66</v>
      </c>
      <c r="B27" s="6" t="s">
        <v>39</v>
      </c>
      <c r="C27" s="7" t="s">
        <v>50</v>
      </c>
      <c r="D27" s="17" t="n">
        <v>3</v>
      </c>
      <c r="E27" s="8" t="n">
        <v>19.1</v>
      </c>
      <c r="F27" s="14" t="s">
        <v>29</v>
      </c>
      <c r="G27" s="19" t="s">
        <v>52</v>
      </c>
      <c r="H27" s="7"/>
      <c r="I27" s="9" t="s">
        <v>26</v>
      </c>
    </row>
    <row r="28" customFormat="false" ht="15" hidden="false" customHeight="false" outlineLevel="0" collapsed="false">
      <c r="A28" s="11" t="s">
        <v>67</v>
      </c>
      <c r="B28" s="11" t="s">
        <v>21</v>
      </c>
      <c r="C28" s="12" t="s">
        <v>50</v>
      </c>
      <c r="D28" s="11" t="n">
        <v>1</v>
      </c>
      <c r="E28" s="11" t="n">
        <v>8.1</v>
      </c>
      <c r="F28" s="15" t="s">
        <v>36</v>
      </c>
      <c r="G28" s="18" t="s">
        <v>52</v>
      </c>
      <c r="H28" s="12"/>
      <c r="I28" s="15" t="s">
        <v>32</v>
      </c>
    </row>
    <row r="29" customFormat="false" ht="15" hidden="false" customHeight="false" outlineLevel="0" collapsed="false">
      <c r="A29" s="6" t="s">
        <v>68</v>
      </c>
      <c r="B29" s="6" t="s">
        <v>34</v>
      </c>
      <c r="C29" s="7" t="s">
        <v>40</v>
      </c>
      <c r="D29" s="6" t="n">
        <v>1</v>
      </c>
      <c r="E29" s="6" t="n">
        <v>11.8</v>
      </c>
      <c r="F29" s="10" t="s">
        <v>36</v>
      </c>
      <c r="G29" s="17" t="s">
        <v>43</v>
      </c>
      <c r="H29" s="7" t="s">
        <v>54</v>
      </c>
      <c r="I29" s="10" t="s">
        <v>32</v>
      </c>
    </row>
    <row r="30" customFormat="false" ht="15" hidden="false" customHeight="false" outlineLevel="0" collapsed="false">
      <c r="A30" s="11" t="s">
        <v>69</v>
      </c>
      <c r="B30" s="11" t="s">
        <v>21</v>
      </c>
      <c r="C30" s="12" t="s">
        <v>50</v>
      </c>
      <c r="D30" s="11" t="n">
        <v>0</v>
      </c>
      <c r="E30" s="11" t="n">
        <v>5.3</v>
      </c>
      <c r="F30" s="15" t="s">
        <v>36</v>
      </c>
      <c r="G30" s="11" t="s">
        <v>30</v>
      </c>
      <c r="H30" s="12" t="s">
        <v>48</v>
      </c>
      <c r="I30" s="15" t="s">
        <v>32</v>
      </c>
    </row>
    <row r="31" customFormat="false" ht="15" hidden="false" customHeight="false" outlineLevel="0" collapsed="false">
      <c r="A31" s="6" t="s">
        <v>70</v>
      </c>
      <c r="B31" s="6" t="s">
        <v>39</v>
      </c>
      <c r="C31" s="7" t="s">
        <v>50</v>
      </c>
      <c r="D31" s="6" t="n">
        <v>2</v>
      </c>
      <c r="E31" s="6" t="n">
        <v>9.8</v>
      </c>
      <c r="F31" s="10" t="s">
        <v>36</v>
      </c>
      <c r="G31" s="19" t="s">
        <v>52</v>
      </c>
      <c r="H31" s="7"/>
      <c r="I31" s="10" t="s">
        <v>32</v>
      </c>
    </row>
    <row r="32" customFormat="false" ht="15" hidden="false" customHeight="false" outlineLevel="0" collapsed="false">
      <c r="A32" s="11" t="s">
        <v>71</v>
      </c>
      <c r="B32" s="11" t="s">
        <v>42</v>
      </c>
      <c r="C32" s="12" t="s">
        <v>40</v>
      </c>
      <c r="D32" s="11" t="n">
        <v>1</v>
      </c>
      <c r="E32" s="13" t="n">
        <v>13.6</v>
      </c>
      <c r="F32" s="14" t="s">
        <v>29</v>
      </c>
      <c r="G32" s="16" t="s">
        <v>43</v>
      </c>
      <c r="H32" s="12" t="s">
        <v>54</v>
      </c>
      <c r="I32" s="15" t="s">
        <v>32</v>
      </c>
    </row>
    <row r="33" customFormat="false" ht="15" hidden="false" customHeight="false" outlineLevel="0" collapsed="false">
      <c r="A33" s="6" t="s">
        <v>72</v>
      </c>
      <c r="B33" s="6" t="s">
        <v>39</v>
      </c>
      <c r="C33" s="7" t="s">
        <v>50</v>
      </c>
      <c r="D33" s="6" t="n">
        <v>2</v>
      </c>
      <c r="E33" s="6" t="n">
        <v>9.6</v>
      </c>
      <c r="F33" s="10" t="s">
        <v>36</v>
      </c>
      <c r="G33" s="6" t="s">
        <v>30</v>
      </c>
      <c r="H33" s="7" t="s">
        <v>37</v>
      </c>
      <c r="I33" s="10" t="s">
        <v>32</v>
      </c>
    </row>
    <row r="34" customFormat="false" ht="15" hidden="false" customHeight="false" outlineLevel="0" collapsed="false">
      <c r="A34" s="11" t="s">
        <v>73</v>
      </c>
      <c r="B34" s="11" t="s">
        <v>39</v>
      </c>
      <c r="C34" s="12" t="s">
        <v>22</v>
      </c>
      <c r="D34" s="11" t="n">
        <v>0</v>
      </c>
      <c r="E34" s="11" t="n">
        <v>10.9</v>
      </c>
      <c r="F34" s="15" t="s">
        <v>36</v>
      </c>
      <c r="G34" s="15" t="s">
        <v>24</v>
      </c>
      <c r="H34" s="12" t="s">
        <v>48</v>
      </c>
      <c r="I34" s="15" t="s">
        <v>32</v>
      </c>
    </row>
    <row r="36" customFormat="false" ht="21.75" hidden="false" customHeight="true" outlineLevel="0" collapsed="false">
      <c r="A36" s="20" t="s">
        <v>74</v>
      </c>
      <c r="B36" s="20"/>
      <c r="C36" s="20"/>
      <c r="D36" s="20"/>
      <c r="E36" s="20"/>
      <c r="F36" s="20"/>
      <c r="G36" s="20"/>
      <c r="H36" s="20"/>
      <c r="I36" s="20"/>
    </row>
    <row r="37" customFormat="false" ht="15" hidden="false" customHeight="true" outlineLevel="0" collapsed="false">
      <c r="A37" s="21" t="s">
        <v>75</v>
      </c>
      <c r="B37" s="21"/>
      <c r="C37" s="21"/>
      <c r="D37" s="21"/>
      <c r="E37" s="21"/>
      <c r="F37" s="22" t="n">
        <f aca="false">AVERAGE(E5:E34)</f>
        <v>13.78</v>
      </c>
    </row>
    <row r="38" customFormat="false" ht="15" hidden="false" customHeight="true" outlineLevel="0" collapsed="false">
      <c r="A38" s="21" t="s">
        <v>76</v>
      </c>
      <c r="B38" s="21"/>
      <c r="C38" s="21"/>
      <c r="D38" s="21"/>
      <c r="E38" s="21"/>
      <c r="F38" s="23" t="n">
        <f aca="false">COUNTIF(F5:F34,"Alta")</f>
        <v>3</v>
      </c>
    </row>
    <row r="39" customFormat="false" ht="15" hidden="false" customHeight="true" outlineLevel="0" collapsed="false">
      <c r="A39" s="21" t="s">
        <v>77</v>
      </c>
      <c r="B39" s="21"/>
      <c r="C39" s="21"/>
      <c r="D39" s="21"/>
      <c r="E39" s="21"/>
      <c r="F39" s="23" t="n">
        <f aca="false">COUNTIF(I5:I34,"Sí")</f>
        <v>8</v>
      </c>
    </row>
    <row r="40" customFormat="false" ht="15" hidden="false" customHeight="true" outlineLevel="0" collapsed="false">
      <c r="A40" s="21" t="s">
        <v>78</v>
      </c>
      <c r="B40" s="21"/>
      <c r="C40" s="21"/>
      <c r="D40" s="21"/>
      <c r="E40" s="21"/>
      <c r="F40" s="23" t="n">
        <f aca="false">COUNTIF(G5:G34,"Resuelto")</f>
        <v>7</v>
      </c>
    </row>
    <row r="41" customFormat="false" ht="15" hidden="false" customHeight="true" outlineLevel="0" collapsed="false">
      <c r="A41" s="21" t="s">
        <v>79</v>
      </c>
      <c r="B41" s="21"/>
      <c r="C41" s="21"/>
      <c r="D41" s="21"/>
      <c r="E41" s="21"/>
      <c r="F41" s="23" t="n">
        <f aca="false">COUNTIF(G5:G34,"Pendiente")</f>
        <v>7</v>
      </c>
    </row>
    <row r="42" customFormat="false" ht="15" hidden="false" customHeight="true" outlineLevel="0" collapsed="false">
      <c r="A42" s="21" t="s">
        <v>80</v>
      </c>
      <c r="B42" s="21"/>
      <c r="C42" s="21"/>
      <c r="D42" s="21"/>
      <c r="E42" s="21"/>
      <c r="F42" s="22" t="n">
        <f aca="false">MAX(E5:E34)</f>
        <v>33</v>
      </c>
    </row>
  </sheetData>
  <mergeCells count="9">
    <mergeCell ref="A1:I1"/>
    <mergeCell ref="A2:I2"/>
    <mergeCell ref="A36:I36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8241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42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24" t="s">
        <v>81</v>
      </c>
      <c r="B1" s="24"/>
      <c r="C1" s="24"/>
      <c r="D1" s="24"/>
      <c r="E1" s="24"/>
      <c r="F1" s="24"/>
      <c r="G1" s="24"/>
    </row>
    <row r="2" customFormat="false" ht="21.75" hidden="false" customHeight="true" outlineLevel="0" collapsed="false">
      <c r="A2" s="2" t="s">
        <v>82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83</v>
      </c>
      <c r="B3" s="4" t="s">
        <v>84</v>
      </c>
      <c r="C3" s="3" t="s">
        <v>85</v>
      </c>
      <c r="D3" s="4" t="s">
        <v>86</v>
      </c>
      <c r="E3" s="3" t="s">
        <v>87</v>
      </c>
      <c r="F3" s="4" t="s">
        <v>88</v>
      </c>
      <c r="G3" s="3" t="s">
        <v>89</v>
      </c>
    </row>
    <row r="4" customFormat="false" ht="57.75" hidden="false" customHeight="true" outlineLevel="0" collapsed="false">
      <c r="A4" s="25" t="s">
        <v>11</v>
      </c>
      <c r="B4" s="26" t="s">
        <v>90</v>
      </c>
      <c r="C4" s="27" t="s">
        <v>91</v>
      </c>
      <c r="D4" s="27" t="s">
        <v>92</v>
      </c>
      <c r="E4" s="28" t="s">
        <v>93</v>
      </c>
      <c r="F4" s="29" t="s">
        <v>94</v>
      </c>
      <c r="G4" s="30" t="s">
        <v>95</v>
      </c>
    </row>
    <row r="5" customFormat="false" ht="57.75" hidden="false" customHeight="true" outlineLevel="0" collapsed="false">
      <c r="A5" s="31" t="s">
        <v>12</v>
      </c>
      <c r="B5" s="32" t="s">
        <v>96</v>
      </c>
      <c r="C5" s="33" t="s">
        <v>97</v>
      </c>
      <c r="D5" s="33" t="s">
        <v>98</v>
      </c>
      <c r="E5" s="34" t="s">
        <v>99</v>
      </c>
      <c r="F5" s="35" t="s">
        <v>100</v>
      </c>
      <c r="G5" s="36" t="s">
        <v>101</v>
      </c>
    </row>
    <row r="6" customFormat="false" ht="57.75" hidden="false" customHeight="true" outlineLevel="0" collapsed="false">
      <c r="A6" s="25" t="s">
        <v>13</v>
      </c>
      <c r="B6" s="26" t="s">
        <v>96</v>
      </c>
      <c r="C6" s="27" t="s">
        <v>102</v>
      </c>
      <c r="D6" s="27" t="s">
        <v>103</v>
      </c>
      <c r="E6" s="28" t="s">
        <v>104</v>
      </c>
      <c r="F6" s="29" t="s">
        <v>105</v>
      </c>
      <c r="G6" s="30" t="s">
        <v>106</v>
      </c>
    </row>
    <row r="7" customFormat="false" ht="57.75" hidden="false" customHeight="true" outlineLevel="0" collapsed="false">
      <c r="A7" s="31" t="s">
        <v>14</v>
      </c>
      <c r="B7" s="32" t="s">
        <v>107</v>
      </c>
      <c r="C7" s="33" t="s">
        <v>108</v>
      </c>
      <c r="D7" s="33" t="s">
        <v>109</v>
      </c>
      <c r="E7" s="34" t="s">
        <v>110</v>
      </c>
      <c r="F7" s="35" t="s">
        <v>111</v>
      </c>
      <c r="G7" s="36" t="s">
        <v>19</v>
      </c>
    </row>
    <row r="8" customFormat="false" ht="57.75" hidden="false" customHeight="true" outlineLevel="0" collapsed="false">
      <c r="A8" s="25" t="s">
        <v>15</v>
      </c>
      <c r="B8" s="26" t="s">
        <v>112</v>
      </c>
      <c r="C8" s="27" t="s">
        <v>113</v>
      </c>
      <c r="D8" s="27" t="s">
        <v>114</v>
      </c>
      <c r="E8" s="28" t="s">
        <v>115</v>
      </c>
      <c r="F8" s="29" t="s">
        <v>116</v>
      </c>
      <c r="G8" s="30" t="s">
        <v>117</v>
      </c>
    </row>
    <row r="9" customFormat="false" ht="57.75" hidden="false" customHeight="true" outlineLevel="0" collapsed="false">
      <c r="A9" s="31" t="s">
        <v>16</v>
      </c>
      <c r="B9" s="32" t="s">
        <v>96</v>
      </c>
      <c r="C9" s="33" t="s">
        <v>118</v>
      </c>
      <c r="D9" s="33" t="s">
        <v>119</v>
      </c>
      <c r="E9" s="34" t="s">
        <v>120</v>
      </c>
      <c r="F9" s="35" t="s">
        <v>121</v>
      </c>
      <c r="G9" s="36" t="s">
        <v>31</v>
      </c>
    </row>
    <row r="10" customFormat="false" ht="57.75" hidden="false" customHeight="true" outlineLevel="0" collapsed="false">
      <c r="A10" s="25" t="s">
        <v>17</v>
      </c>
      <c r="B10" s="26" t="s">
        <v>96</v>
      </c>
      <c r="C10" s="27" t="s">
        <v>122</v>
      </c>
      <c r="D10" s="27" t="s">
        <v>123</v>
      </c>
      <c r="E10" s="28" t="s">
        <v>124</v>
      </c>
      <c r="F10" s="29" t="s">
        <v>125</v>
      </c>
      <c r="G10" s="30" t="s">
        <v>126</v>
      </c>
    </row>
    <row r="11" customFormat="false" ht="57.75" hidden="false" customHeight="true" outlineLevel="0" collapsed="false">
      <c r="A11" s="31" t="s">
        <v>18</v>
      </c>
      <c r="B11" s="32" t="s">
        <v>127</v>
      </c>
      <c r="C11" s="33" t="s">
        <v>128</v>
      </c>
      <c r="D11" s="33" t="s">
        <v>129</v>
      </c>
      <c r="E11" s="34" t="s">
        <v>130</v>
      </c>
      <c r="F11" s="35" t="s">
        <v>131</v>
      </c>
      <c r="G11" s="36" t="s">
        <v>132</v>
      </c>
    </row>
    <row r="12" customFormat="false" ht="57.75" hidden="false" customHeight="true" outlineLevel="0" collapsed="false">
      <c r="A12" s="25" t="s">
        <v>19</v>
      </c>
      <c r="B12" s="26" t="s">
        <v>133</v>
      </c>
      <c r="C12" s="27" t="s">
        <v>134</v>
      </c>
      <c r="D12" s="27" t="s">
        <v>135</v>
      </c>
      <c r="E12" s="28" t="s">
        <v>136</v>
      </c>
      <c r="F12" s="29" t="s">
        <v>137</v>
      </c>
      <c r="G12" s="30" t="s">
        <v>19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60A8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7" min="6" style="0" width="10"/>
  </cols>
  <sheetData>
    <row r="1" customFormat="false" ht="21.75" hidden="false" customHeight="true" outlineLevel="0" collapsed="false">
      <c r="A1" s="20" t="s">
        <v>138</v>
      </c>
      <c r="B1" s="20"/>
      <c r="C1" s="20"/>
      <c r="D1" s="20"/>
      <c r="E1" s="20"/>
      <c r="F1" s="20"/>
      <c r="G1" s="20"/>
    </row>
    <row r="2" customFormat="false" ht="21.75" hidden="false" customHeight="true" outlineLevel="0" collapsed="false">
      <c r="A2" s="37" t="s">
        <v>139</v>
      </c>
      <c r="B2" s="37"/>
      <c r="C2" s="37"/>
      <c r="D2" s="37"/>
      <c r="E2" s="37"/>
      <c r="F2" s="37"/>
      <c r="G2" s="37"/>
    </row>
    <row r="4" customFormat="false" ht="27.75" hidden="false" customHeight="true" outlineLevel="0" collapsed="false">
      <c r="A4" s="38" t="s">
        <v>140</v>
      </c>
      <c r="B4" s="38"/>
      <c r="C4" s="38"/>
      <c r="D4" s="38"/>
      <c r="E4" s="38" t="s">
        <v>141</v>
      </c>
      <c r="F4" s="38"/>
      <c r="G4" s="38"/>
    </row>
    <row r="6" customFormat="false" ht="21.75" hidden="false" customHeight="true" outlineLevel="0" collapsed="false">
      <c r="A6" s="24" t="s">
        <v>142</v>
      </c>
      <c r="B6" s="24"/>
      <c r="C6" s="24"/>
      <c r="D6" s="24"/>
      <c r="E6" s="24"/>
      <c r="F6" s="24"/>
      <c r="G6" s="24"/>
    </row>
    <row r="7" customFormat="false" ht="25.5" hidden="false" customHeight="true" outlineLevel="0" collapsed="false">
      <c r="A7" s="39" t="s">
        <v>143</v>
      </c>
      <c r="B7" s="39"/>
      <c r="C7" s="40" t="s">
        <v>144</v>
      </c>
      <c r="D7" s="40"/>
      <c r="E7" s="40"/>
      <c r="F7" s="40"/>
      <c r="G7" s="40"/>
    </row>
    <row r="8" customFormat="false" ht="25.5" hidden="false" customHeight="true" outlineLevel="0" collapsed="false">
      <c r="C8" s="40"/>
      <c r="D8" s="40"/>
      <c r="E8" s="40"/>
      <c r="F8" s="40"/>
      <c r="G8" s="40"/>
    </row>
    <row r="9" customFormat="false" ht="25.5" hidden="false" customHeight="true" outlineLevel="0" collapsed="false">
      <c r="C9" s="40"/>
      <c r="D9" s="40"/>
      <c r="E9" s="40"/>
      <c r="F9" s="40"/>
      <c r="G9" s="40"/>
    </row>
    <row r="10" customFormat="false" ht="25.5" hidden="false" customHeight="true" outlineLevel="0" collapsed="false">
      <c r="A10" s="41" t="s">
        <v>145</v>
      </c>
      <c r="B10" s="41"/>
      <c r="C10" s="42" t="s">
        <v>146</v>
      </c>
      <c r="D10" s="42"/>
      <c r="E10" s="42"/>
      <c r="F10" s="42"/>
      <c r="G10" s="42"/>
    </row>
    <row r="11" customFormat="false" ht="25.5" hidden="false" customHeight="true" outlineLevel="0" collapsed="false">
      <c r="C11" s="42"/>
      <c r="D11" s="42"/>
      <c r="E11" s="42"/>
      <c r="F11" s="42"/>
      <c r="G11" s="42"/>
    </row>
    <row r="12" customFormat="false" ht="25.5" hidden="false" customHeight="true" outlineLevel="0" collapsed="false">
      <c r="C12" s="42"/>
      <c r="D12" s="42"/>
      <c r="E12" s="42"/>
      <c r="F12" s="42"/>
      <c r="G12" s="42"/>
    </row>
    <row r="13" customFormat="false" ht="25.5" hidden="false" customHeight="true" outlineLevel="0" collapsed="false">
      <c r="A13" s="39" t="s">
        <v>147</v>
      </c>
      <c r="B13" s="39"/>
      <c r="C13" s="40" t="s">
        <v>148</v>
      </c>
      <c r="D13" s="40"/>
      <c r="E13" s="40"/>
      <c r="F13" s="40"/>
      <c r="G13" s="40"/>
    </row>
    <row r="14" customFormat="false" ht="25.5" hidden="false" customHeight="true" outlineLevel="0" collapsed="false">
      <c r="C14" s="40"/>
      <c r="D14" s="40"/>
      <c r="E14" s="40"/>
      <c r="F14" s="40"/>
      <c r="G14" s="40"/>
    </row>
    <row r="15" customFormat="false" ht="25.5" hidden="false" customHeight="true" outlineLevel="0" collapsed="false">
      <c r="C15" s="40"/>
      <c r="D15" s="40"/>
      <c r="E15" s="40"/>
      <c r="F15" s="40"/>
      <c r="G15" s="40"/>
    </row>
    <row r="16" customFormat="false" ht="25.5" hidden="false" customHeight="true" outlineLevel="0" collapsed="false">
      <c r="A16" s="41" t="s">
        <v>149</v>
      </c>
      <c r="B16" s="41"/>
      <c r="C16" s="42" t="s">
        <v>150</v>
      </c>
      <c r="D16" s="42"/>
      <c r="E16" s="42"/>
      <c r="F16" s="42"/>
      <c r="G16" s="42"/>
    </row>
    <row r="17" customFormat="false" ht="25.5" hidden="false" customHeight="true" outlineLevel="0" collapsed="false">
      <c r="C17" s="42"/>
      <c r="D17" s="42"/>
      <c r="E17" s="42"/>
      <c r="F17" s="42"/>
      <c r="G17" s="42"/>
    </row>
    <row r="18" customFormat="false" ht="25.5" hidden="false" customHeight="true" outlineLevel="0" collapsed="false">
      <c r="C18" s="42"/>
      <c r="D18" s="42"/>
      <c r="E18" s="42"/>
      <c r="F18" s="42"/>
      <c r="G18" s="42"/>
    </row>
    <row r="20" customFormat="false" ht="21.75" hidden="false" customHeight="true" outlineLevel="0" collapsed="false">
      <c r="A20" s="1" t="s">
        <v>151</v>
      </c>
      <c r="B20" s="1"/>
      <c r="C20" s="1"/>
      <c r="D20" s="1"/>
      <c r="E20" s="1"/>
      <c r="F20" s="1"/>
      <c r="G20" s="1"/>
    </row>
    <row r="21" customFormat="false" ht="27.75" hidden="false" customHeight="true" outlineLevel="0" collapsed="false">
      <c r="A21" s="43" t="s">
        <v>152</v>
      </c>
      <c r="B21" s="44" t="s">
        <v>153</v>
      </c>
      <c r="C21" s="43" t="s">
        <v>154</v>
      </c>
      <c r="D21" s="44" t="s">
        <v>155</v>
      </c>
      <c r="E21" s="43" t="s">
        <v>156</v>
      </c>
    </row>
    <row r="22" customFormat="false" ht="36" hidden="false" customHeight="true" outlineLevel="0" collapsed="false">
      <c r="A22" s="45" t="s">
        <v>157</v>
      </c>
      <c r="B22" s="46"/>
      <c r="C22" s="46"/>
      <c r="D22" s="46"/>
      <c r="E22" s="46"/>
    </row>
    <row r="23" customFormat="false" ht="19.5" hidden="false" customHeight="true" outlineLevel="0" collapsed="false">
      <c r="B23" s="46"/>
      <c r="C23" s="46"/>
      <c r="D23" s="46"/>
    </row>
    <row r="24" customFormat="false" ht="36" hidden="false" customHeight="true" outlineLevel="0" collapsed="false">
      <c r="A24" s="47" t="s">
        <v>158</v>
      </c>
      <c r="B24" s="48"/>
      <c r="C24" s="48"/>
      <c r="D24" s="48"/>
      <c r="E24" s="48"/>
    </row>
    <row r="25" customFormat="false" ht="19.5" hidden="false" customHeight="true" outlineLevel="0" collapsed="false">
      <c r="B25" s="48"/>
      <c r="C25" s="48"/>
      <c r="D25" s="48"/>
    </row>
    <row r="26" customFormat="false" ht="36" hidden="false" customHeight="true" outlineLevel="0" collapsed="false">
      <c r="A26" s="49" t="s">
        <v>159</v>
      </c>
      <c r="B26" s="50"/>
      <c r="C26" s="50"/>
      <c r="D26" s="50"/>
      <c r="E26" s="50"/>
    </row>
    <row r="27" customFormat="false" ht="19.5" hidden="false" customHeight="true" outlineLevel="0" collapsed="false">
      <c r="B27" s="50"/>
      <c r="C27" s="50"/>
      <c r="D27" s="50"/>
    </row>
    <row r="29" customFormat="false" ht="21.75" hidden="false" customHeight="true" outlineLevel="0" collapsed="false">
      <c r="A29" s="24" t="s">
        <v>160</v>
      </c>
      <c r="B29" s="24"/>
      <c r="C29" s="24"/>
      <c r="D29" s="24"/>
      <c r="E29" s="24"/>
      <c r="F29" s="24"/>
      <c r="G29" s="24"/>
    </row>
    <row r="30" customFormat="false" ht="33.75" hidden="false" customHeight="true" outlineLevel="0" collapsed="false">
      <c r="A30" s="51" t="s">
        <v>161</v>
      </c>
      <c r="B30" s="52"/>
      <c r="C30" s="52"/>
      <c r="D30" s="52"/>
      <c r="E30" s="52"/>
      <c r="F30" s="52"/>
      <c r="G30" s="52"/>
    </row>
    <row r="31" customFormat="false" ht="33.75" hidden="false" customHeight="true" outlineLevel="0" collapsed="false">
      <c r="A31" s="51" t="s">
        <v>162</v>
      </c>
      <c r="B31" s="53"/>
      <c r="C31" s="53"/>
      <c r="D31" s="53"/>
      <c r="E31" s="53"/>
      <c r="F31" s="53"/>
      <c r="G31" s="53"/>
    </row>
    <row r="32" customFormat="false" ht="33.75" hidden="false" customHeight="true" outlineLevel="0" collapsed="false">
      <c r="A32" s="51" t="s">
        <v>163</v>
      </c>
      <c r="B32" s="52"/>
      <c r="C32" s="52"/>
      <c r="D32" s="52"/>
      <c r="E32" s="52"/>
      <c r="F32" s="52"/>
      <c r="G32" s="52"/>
    </row>
    <row r="33" customFormat="false" ht="33.75" hidden="false" customHeight="true" outlineLevel="0" collapsed="false">
      <c r="A33" s="51" t="s">
        <v>164</v>
      </c>
      <c r="B33" s="53"/>
      <c r="C33" s="53"/>
      <c r="D33" s="53"/>
      <c r="E33" s="53"/>
      <c r="F33" s="53"/>
      <c r="G33" s="53"/>
    </row>
  </sheetData>
  <mergeCells count="28">
    <mergeCell ref="A1:G1"/>
    <mergeCell ref="A2:G2"/>
    <mergeCell ref="A4:D4"/>
    <mergeCell ref="E4:G4"/>
    <mergeCell ref="A6:G6"/>
    <mergeCell ref="A7:B7"/>
    <mergeCell ref="C7:G9"/>
    <mergeCell ref="A10:B10"/>
    <mergeCell ref="C10:G12"/>
    <mergeCell ref="A13:B13"/>
    <mergeCell ref="C13:G15"/>
    <mergeCell ref="A16:B16"/>
    <mergeCell ref="C16:G18"/>
    <mergeCell ref="A20:G20"/>
    <mergeCell ref="B22:B23"/>
    <mergeCell ref="C22:C23"/>
    <mergeCell ref="D22:D23"/>
    <mergeCell ref="B24:B25"/>
    <mergeCell ref="C24:C25"/>
    <mergeCell ref="D24:D25"/>
    <mergeCell ref="B26:B27"/>
    <mergeCell ref="C26:C27"/>
    <mergeCell ref="D26:D27"/>
    <mergeCell ref="A29:G29"/>
    <mergeCell ref="B30:G30"/>
    <mergeCell ref="B31:G31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44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1.75" hidden="false" customHeight="true" outlineLevel="0" collapsed="false">
      <c r="A1" s="54" t="s">
        <v>165</v>
      </c>
      <c r="B1" s="54"/>
      <c r="C1" s="54"/>
      <c r="D1" s="54"/>
      <c r="E1" s="54"/>
      <c r="F1" s="54"/>
      <c r="G1" s="54"/>
    </row>
    <row r="2" customFormat="false" ht="21.75" hidden="false" customHeight="true" outlineLevel="0" collapsed="false">
      <c r="A2" s="37" t="s">
        <v>166</v>
      </c>
      <c r="B2" s="37"/>
      <c r="C2" s="37"/>
      <c r="D2" s="37"/>
      <c r="E2" s="37"/>
      <c r="F2" s="37"/>
      <c r="G2" s="37"/>
    </row>
    <row r="3" customFormat="false" ht="31.5" hidden="false" customHeight="true" outlineLevel="0" collapsed="false">
      <c r="A3" s="3" t="s">
        <v>167</v>
      </c>
      <c r="B3" s="4" t="s">
        <v>168</v>
      </c>
      <c r="C3" s="3" t="s">
        <v>169</v>
      </c>
      <c r="D3" s="4" t="s">
        <v>170</v>
      </c>
      <c r="E3" s="3" t="s">
        <v>171</v>
      </c>
      <c r="F3" s="4" t="s">
        <v>172</v>
      </c>
      <c r="G3" s="3" t="s">
        <v>173</v>
      </c>
    </row>
    <row r="4" customFormat="false" ht="48" hidden="false" customHeight="true" outlineLevel="0" collapsed="false">
      <c r="A4" s="55" t="s">
        <v>174</v>
      </c>
      <c r="B4" s="56" t="s">
        <v>175</v>
      </c>
      <c r="C4" s="57" t="s">
        <v>176</v>
      </c>
      <c r="D4" s="57" t="s">
        <v>177</v>
      </c>
      <c r="E4" s="57" t="s">
        <v>178</v>
      </c>
      <c r="F4" s="58" t="s">
        <v>179</v>
      </c>
      <c r="G4" s="59" t="s">
        <v>32</v>
      </c>
    </row>
    <row r="5" customFormat="false" ht="48" hidden="false" customHeight="true" outlineLevel="0" collapsed="false">
      <c r="A5" s="60" t="s">
        <v>180</v>
      </c>
      <c r="B5" s="61" t="s">
        <v>181</v>
      </c>
      <c r="C5" s="62" t="s">
        <v>182</v>
      </c>
      <c r="D5" s="62" t="s">
        <v>183</v>
      </c>
      <c r="E5" s="62" t="s">
        <v>184</v>
      </c>
      <c r="F5" s="63" t="s">
        <v>179</v>
      </c>
      <c r="G5" s="63" t="s">
        <v>32</v>
      </c>
    </row>
    <row r="6" customFormat="false" ht="48" hidden="false" customHeight="true" outlineLevel="0" collapsed="false">
      <c r="A6" s="64" t="s">
        <v>185</v>
      </c>
      <c r="B6" s="65" t="s">
        <v>186</v>
      </c>
      <c r="C6" s="66" t="s">
        <v>187</v>
      </c>
      <c r="D6" s="66" t="s">
        <v>188</v>
      </c>
      <c r="E6" s="66" t="s">
        <v>189</v>
      </c>
      <c r="F6" s="67" t="s">
        <v>179</v>
      </c>
      <c r="G6" s="68" t="s">
        <v>32</v>
      </c>
    </row>
    <row r="7" customFormat="false" ht="48" hidden="false" customHeight="true" outlineLevel="0" collapsed="false">
      <c r="A7" s="55" t="s">
        <v>190</v>
      </c>
      <c r="B7" s="56" t="s">
        <v>191</v>
      </c>
      <c r="C7" s="57" t="s">
        <v>192</v>
      </c>
      <c r="D7" s="57" t="s">
        <v>193</v>
      </c>
      <c r="E7" s="57" t="s">
        <v>194</v>
      </c>
      <c r="F7" s="58" t="s">
        <v>195</v>
      </c>
      <c r="G7" s="69" t="s">
        <v>196</v>
      </c>
    </row>
    <row r="8" customFormat="false" ht="48" hidden="false" customHeight="true" outlineLevel="0" collapsed="false">
      <c r="A8" s="60" t="s">
        <v>197</v>
      </c>
      <c r="B8" s="61" t="s">
        <v>198</v>
      </c>
      <c r="C8" s="62" t="s">
        <v>199</v>
      </c>
      <c r="D8" s="62" t="s">
        <v>200</v>
      </c>
      <c r="E8" s="62" t="s">
        <v>201</v>
      </c>
      <c r="F8" s="63" t="s">
        <v>195</v>
      </c>
      <c r="G8" s="63" t="s">
        <v>202</v>
      </c>
    </row>
    <row r="9" customFormat="false" ht="48" hidden="false" customHeight="true" outlineLevel="0" collapsed="false">
      <c r="A9" s="70" t="s">
        <v>203</v>
      </c>
      <c r="B9" s="71" t="s">
        <v>204</v>
      </c>
      <c r="C9" s="72" t="s">
        <v>205</v>
      </c>
      <c r="D9" s="72" t="s">
        <v>206</v>
      </c>
      <c r="E9" s="72" t="s">
        <v>207</v>
      </c>
      <c r="F9" s="73" t="s">
        <v>208</v>
      </c>
      <c r="G9" s="73" t="s">
        <v>209</v>
      </c>
    </row>
    <row r="10" customFormat="false" ht="48" hidden="false" customHeight="true" outlineLevel="0" collapsed="false">
      <c r="A10" s="64" t="s">
        <v>210</v>
      </c>
      <c r="B10" s="65" t="s">
        <v>211</v>
      </c>
      <c r="C10" s="66" t="s">
        <v>212</v>
      </c>
      <c r="D10" s="66" t="s">
        <v>213</v>
      </c>
      <c r="E10" s="66" t="s">
        <v>214</v>
      </c>
      <c r="F10" s="67" t="s">
        <v>215</v>
      </c>
      <c r="G10" s="74" t="s">
        <v>216</v>
      </c>
    </row>
    <row r="12" customFormat="false" ht="21.75" hidden="false" customHeight="true" outlineLevel="0" collapsed="false">
      <c r="A12" s="75" t="s">
        <v>217</v>
      </c>
      <c r="B12" s="75"/>
      <c r="C12" s="75"/>
      <c r="D12" s="75"/>
      <c r="E12" s="75"/>
      <c r="F12" s="75"/>
      <c r="G12" s="75"/>
    </row>
    <row r="13" customFormat="false" ht="27.75" hidden="false" customHeight="true" outlineLevel="0" collapsed="false">
      <c r="A13" s="76" t="s">
        <v>218</v>
      </c>
      <c r="B13" s="76"/>
      <c r="C13" s="77" t="s">
        <v>219</v>
      </c>
      <c r="D13" s="77"/>
      <c r="E13" s="77"/>
      <c r="F13" s="77"/>
      <c r="G13" s="77"/>
    </row>
    <row r="14" customFormat="false" ht="27.75" hidden="false" customHeight="true" outlineLevel="0" collapsed="false">
      <c r="A14" s="76" t="s">
        <v>220</v>
      </c>
      <c r="B14" s="76"/>
      <c r="C14" s="77" t="s">
        <v>221</v>
      </c>
      <c r="D14" s="77"/>
      <c r="E14" s="77"/>
      <c r="F14" s="77"/>
      <c r="G14" s="77"/>
    </row>
    <row r="15" customFormat="false" ht="27.75" hidden="false" customHeight="true" outlineLevel="0" collapsed="false">
      <c r="A15" s="78" t="s">
        <v>222</v>
      </c>
      <c r="B15" s="78"/>
      <c r="C15" s="79" t="s">
        <v>223</v>
      </c>
      <c r="D15" s="79"/>
      <c r="E15" s="79"/>
      <c r="F15" s="79"/>
      <c r="G15" s="79"/>
    </row>
    <row r="16" customFormat="false" ht="27.75" hidden="false" customHeight="true" outlineLevel="0" collapsed="false">
      <c r="A16" s="78" t="s">
        <v>224</v>
      </c>
      <c r="B16" s="78"/>
      <c r="C16" s="79" t="s">
        <v>225</v>
      </c>
      <c r="D16" s="79"/>
      <c r="E16" s="79"/>
      <c r="F16" s="79"/>
      <c r="G16" s="79"/>
    </row>
    <row r="17" customFormat="false" ht="27.75" hidden="false" customHeight="true" outlineLevel="0" collapsed="false">
      <c r="A17" s="76" t="s">
        <v>226</v>
      </c>
      <c r="B17" s="76"/>
      <c r="C17" s="77" t="s">
        <v>227</v>
      </c>
      <c r="D17" s="77"/>
      <c r="E17" s="77"/>
      <c r="F17" s="77"/>
      <c r="G17" s="77"/>
    </row>
  </sheetData>
  <mergeCells count="13">
    <mergeCell ref="A1:G1"/>
    <mergeCell ref="A2:G2"/>
    <mergeCell ref="A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2026-04-29T15:45:27Z</dcterms:created>
  <dc:creator>openpyxl</dc:creator>
  <dc:description/>
  <dc:language>en-US</dc:language>
  <cp:lastModifiedBy/>
  <dcterms:modified xsi:type="dcterms:W3CDTF">2026-04-29T15:45:27Z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