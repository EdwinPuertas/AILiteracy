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uerta\Downloads\"/>
    </mc:Choice>
  </mc:AlternateContent>
  <xr:revisionPtr revIDLastSave="0" documentId="8_{59287233-94C5-4008-9444-405AAB2A41A0}" xr6:coauthVersionLast="47" xr6:coauthVersionMax="47" xr10:uidLastSave="{00000000-0000-0000-0000-000000000000}"/>
  <bookViews>
    <workbookView xWindow="-110" yWindow="-110" windowWidth="19420" windowHeight="11500" xr2:uid="{76559D37-35A9-4403-A61B-B81D79CF78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6" i="1" l="1"/>
  <c r="E34" i="1"/>
  <c r="E32" i="1"/>
  <c r="E31" i="1"/>
  <c r="E29" i="1"/>
  <c r="E28" i="1"/>
  <c r="E27" i="1"/>
  <c r="E23" i="1"/>
  <c r="E22" i="1"/>
  <c r="E21" i="1"/>
  <c r="E20" i="1"/>
  <c r="E19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<sst xmlns="http://schemas.openxmlformats.org/spreadsheetml/2006/main" count="40" uniqueCount="40">
  <si>
    <t>Estudiante</t>
  </si>
  <si>
    <t>AGENT2</t>
  </si>
  <si>
    <t>SSTATE</t>
  </si>
  <si>
    <t>P-LAB</t>
  </si>
  <si>
    <t>P-TEO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</si>
  <si>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</si>
  <si>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</si>
  <si>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</si>
  <si>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</si>
  <si>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</si>
  <si>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</si>
  <si>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</si>
  <si>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</si>
  <si>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</si>
  <si>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</si>
  <si>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</si>
  <si>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</si>
  <si>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</si>
  <si>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</si>
  <si>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</si>
  <si>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</si>
  <si>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</si>
  <si>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</si>
  <si>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</si>
  <si>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</si>
  <si>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</si>
  <si>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</si>
  <si>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</si>
  <si>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</si>
  <si>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25</t>
  </si>
  <si>
    <t>Estudiante 26</t>
  </si>
  <si>
    <t>Estudiante 27</t>
  </si>
  <si>
    <t>Estudiante 28</t>
  </si>
  <si>
    <t>Estudiante 29</t>
  </si>
  <si>
    <t>Estudiante 30</t>
  </si>
  <si>
    <t>Estudiante 31</t>
  </si>
  <si>
    <t>Estudiante 32</t>
  </si>
  <si>
    <t>Estudiante 33</t>
  </si>
  <si>
    <t>Estudiante 34</t>
  </si>
  <si>
    <t>Estudiante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</si>
</sst>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BF3FB"/>
        <bgColor rgb="FFEBF3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CC1E-01F5-4186-A945-E864C1019FA9}">
  <dimension ref="A1:E36"/>
  <sheetViews>
    <sheetView tabSelected="1" workbookViewId="0">
      <selection activeCell="F1" sqref="F1:F1048576"/>
    </sheetView>
  </sheetViews>
  <sheetFormatPr baseColWidth="10" defaultRowHeight="14.5" x14ac:dyDescent="0.35"/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5</v>
      </c>
      <c r="C2" s="4">
        <v>5</v>
      </c>
      <c r="D2" s="4">
        <v>4.5</v>
      </c>
      <c r="E2" s="4">
        <f>1.3+1.5+0.8</f>
        <v>3.5999999999999996</v>
      </c>
    </row>
    <row r="3" spans="1:5" x14ac:dyDescent="0.35">
      <c r="A3" s="5" t="s">
        <v>6</v>
      </c>
      <c r="B3" s="6">
        <v>5</v>
      </c>
      <c r="C3" s="6">
        <v>4.5</v>
      </c>
      <c r="D3" s="6">
        <v>5</v>
      </c>
      <c r="E3" s="6">
        <f>2+1.5+1.5</f>
        <v>5</v>
      </c>
    </row>
    <row r="4" spans="1:5" x14ac:dyDescent="0.35">
      <c r="A4" s="3" t="s">
        <v>7</v>
      </c>
      <c r="B4" s="4">
        <v>2</v>
      </c>
      <c r="C4" s="4">
        <v>5</v>
      </c>
      <c r="D4" s="4">
        <v>5</v>
      </c>
      <c r="E4" s="4">
        <f>1.5+1.5+1.5</f>
        <v>4.5</v>
      </c>
    </row>
    <row r="5" spans="1:5" x14ac:dyDescent="0.35">
      <c r="A5" s="5" t="s">
        <v>8</v>
      </c>
      <c r="B5" s="6">
        <v>5</v>
      </c>
      <c r="C5" s="6">
        <v>4.5</v>
      </c>
      <c r="D5" s="6">
        <v>5</v>
      </c>
      <c r="E5" s="6">
        <f>1.5+1.5+1.5</f>
        <v>4.5</v>
      </c>
    </row>
    <row r="6" spans="1:5" x14ac:dyDescent="0.35">
      <c r="A6" s="3" t="s">
        <v>9</v>
      </c>
      <c r="B6" s="4">
        <v>4.5</v>
      </c>
      <c r="C6" s="4">
        <v>4.5</v>
      </c>
      <c r="D6" s="4">
        <v>4.5</v>
      </c>
      <c r="E6" s="4">
        <f>2+1.5+1</f>
        <v>4.5</v>
      </c>
    </row>
    <row r="7" spans="1:5" x14ac:dyDescent="0.35">
      <c r="A7" s="5" t="s">
        <v>10</v>
      </c>
      <c r="B7" s="6">
        <v>4</v>
      </c>
      <c r="C7" s="6">
        <v>4.2</v>
      </c>
      <c r="D7" s="6">
        <v>5</v>
      </c>
      <c r="E7" s="6">
        <f>2+1.5+1.5</f>
        <v>5</v>
      </c>
    </row>
    <row r="8" spans="1:5" x14ac:dyDescent="0.35">
      <c r="A8" s="3" t="s">
        <v>11</v>
      </c>
      <c r="B8" s="4">
        <v>4.5</v>
      </c>
      <c r="C8" s="4">
        <v>4.5</v>
      </c>
      <c r="D8" s="4">
        <v>5</v>
      </c>
      <c r="E8" s="4">
        <f>2+1.3+1.3</f>
        <v>4.5999999999999996</v>
      </c>
    </row>
    <row r="9" spans="1:5" x14ac:dyDescent="0.35">
      <c r="A9" s="5" t="s">
        <v>12</v>
      </c>
      <c r="B9" s="6">
        <v>2</v>
      </c>
      <c r="C9" s="6">
        <v>5</v>
      </c>
      <c r="D9" s="6">
        <v>5</v>
      </c>
      <c r="E9" s="6">
        <f>2+1.5+1.5</f>
        <v>5</v>
      </c>
    </row>
    <row r="10" spans="1:5" x14ac:dyDescent="0.35">
      <c r="A10" s="3" t="s">
        <v>13</v>
      </c>
      <c r="B10" s="4">
        <v>5</v>
      </c>
      <c r="C10" s="4">
        <v>4.2</v>
      </c>
      <c r="D10" s="4">
        <v>5</v>
      </c>
      <c r="E10" s="4">
        <f>2+1.5+1.5</f>
        <v>5</v>
      </c>
    </row>
    <row r="11" spans="1:5" x14ac:dyDescent="0.35">
      <c r="A11" s="5" t="s">
        <v>14</v>
      </c>
      <c r="B11" s="6">
        <v>5</v>
      </c>
      <c r="C11" s="6">
        <v>4.5</v>
      </c>
      <c r="D11" s="6">
        <v>4.5</v>
      </c>
      <c r="E11" s="6">
        <f>1.5+1+1.5</f>
        <v>4</v>
      </c>
    </row>
    <row r="12" spans="1:5" x14ac:dyDescent="0.35">
      <c r="A12" s="3" t="s">
        <v>15</v>
      </c>
      <c r="B12" s="4">
        <v>4.5</v>
      </c>
      <c r="C12" s="4">
        <v>4.5</v>
      </c>
      <c r="D12" s="4">
        <v>4.5</v>
      </c>
      <c r="E12" s="4">
        <f>1+1.5+1.5</f>
        <v>4</v>
      </c>
    </row>
    <row r="13" spans="1:5" x14ac:dyDescent="0.35">
      <c r="A13" s="5" t="s">
        <v>16</v>
      </c>
      <c r="B13" s="6">
        <v>5</v>
      </c>
      <c r="C13" s="6">
        <v>4.2</v>
      </c>
      <c r="D13" s="6">
        <v>4</v>
      </c>
      <c r="E13" s="6">
        <f>1.5+1.5+1</f>
        <v>4</v>
      </c>
    </row>
    <row r="14" spans="1:5" x14ac:dyDescent="0.35">
      <c r="A14" s="3" t="s">
        <v>17</v>
      </c>
      <c r="B14" s="4">
        <v>5</v>
      </c>
      <c r="C14" s="4">
        <v>5</v>
      </c>
      <c r="D14" s="4">
        <v>4.5</v>
      </c>
      <c r="E14" s="4">
        <f>1.7+1.5+1.5</f>
        <v>4.7</v>
      </c>
    </row>
    <row r="15" spans="1:5" x14ac:dyDescent="0.35">
      <c r="A15" s="5" t="s">
        <v>18</v>
      </c>
      <c r="B15" s="6">
        <v>4.2</v>
      </c>
      <c r="C15" s="6">
        <v>1</v>
      </c>
      <c r="D15" s="6">
        <v>4</v>
      </c>
      <c r="E15" s="6">
        <f>1.5+1+1.5</f>
        <v>4</v>
      </c>
    </row>
    <row r="16" spans="1:5" x14ac:dyDescent="0.35">
      <c r="A16" s="3" t="s">
        <v>19</v>
      </c>
      <c r="B16" s="4">
        <v>4.2</v>
      </c>
      <c r="C16" s="4">
        <v>1</v>
      </c>
      <c r="D16" s="4">
        <v>4</v>
      </c>
      <c r="E16" s="4">
        <f>1.5+1.5+1.5</f>
        <v>4.5</v>
      </c>
    </row>
    <row r="17" spans="1:5" x14ac:dyDescent="0.35">
      <c r="A17" s="5" t="s">
        <v>20</v>
      </c>
      <c r="B17" s="6">
        <v>5</v>
      </c>
      <c r="C17" s="6">
        <v>4.2</v>
      </c>
      <c r="D17" s="6">
        <v>5</v>
      </c>
      <c r="E17" s="6">
        <f>1.5+1.5+1.3</f>
        <v>4.3</v>
      </c>
    </row>
    <row r="18" spans="1:5" x14ac:dyDescent="0.35">
      <c r="A18" s="3" t="s">
        <v>21</v>
      </c>
      <c r="B18" s="4">
        <v>4</v>
      </c>
      <c r="C18" s="4">
        <v>5</v>
      </c>
      <c r="D18" s="4">
        <v>5</v>
      </c>
      <c r="E18" s="4">
        <v>0</v>
      </c>
    </row>
    <row r="19" spans="1:5" x14ac:dyDescent="0.35">
      <c r="A19" s="5" t="s">
        <v>22</v>
      </c>
      <c r="B19" s="6">
        <v>4.5</v>
      </c>
      <c r="C19" s="6">
        <v>4.2</v>
      </c>
      <c r="D19" s="6">
        <v>5</v>
      </c>
      <c r="E19" s="6">
        <f>2+1.5+1.5</f>
        <v>5</v>
      </c>
    </row>
    <row r="20" spans="1:5" x14ac:dyDescent="0.35">
      <c r="A20" s="3" t="s">
        <v>23</v>
      </c>
      <c r="B20" s="4">
        <v>5</v>
      </c>
      <c r="C20" s="4">
        <v>4.5</v>
      </c>
      <c r="D20" s="4">
        <v>4.5</v>
      </c>
      <c r="E20" s="4">
        <f>1.5+1.5+1.5</f>
        <v>4.5</v>
      </c>
    </row>
    <row r="21" spans="1:5" x14ac:dyDescent="0.35">
      <c r="A21" s="5" t="s">
        <v>24</v>
      </c>
      <c r="B21" s="6">
        <v>4.5</v>
      </c>
      <c r="C21" s="6">
        <v>4.5</v>
      </c>
      <c r="D21" s="6">
        <v>5</v>
      </c>
      <c r="E21" s="6">
        <f>1.2+1.5+1</f>
        <v>3.7</v>
      </c>
    </row>
    <row r="22" spans="1:5" x14ac:dyDescent="0.35">
      <c r="A22" s="3" t="s">
        <v>25</v>
      </c>
      <c r="B22" s="4">
        <v>2</v>
      </c>
      <c r="C22" s="4">
        <v>4.2</v>
      </c>
      <c r="D22" s="4">
        <v>4.5</v>
      </c>
      <c r="E22" s="4">
        <f>2+1.5+1.5</f>
        <v>5</v>
      </c>
    </row>
    <row r="23" spans="1:5" x14ac:dyDescent="0.35">
      <c r="A23" s="5" t="s">
        <v>26</v>
      </c>
      <c r="B23" s="6">
        <v>4.5</v>
      </c>
      <c r="C23" s="6">
        <v>4.2</v>
      </c>
      <c r="D23" s="6">
        <v>5</v>
      </c>
      <c r="E23" s="6">
        <f>1.5+1.5+0.8</f>
        <v>3.8</v>
      </c>
    </row>
    <row r="24" spans="1:5" x14ac:dyDescent="0.35">
      <c r="A24" s="3" t="s">
        <v>27</v>
      </c>
      <c r="B24" s="4">
        <v>4</v>
      </c>
      <c r="C24" s="4">
        <v>4.2</v>
      </c>
      <c r="D24" s="4">
        <v>5</v>
      </c>
      <c r="E24" s="4">
        <v>0</v>
      </c>
    </row>
    <row r="25" spans="1:5" x14ac:dyDescent="0.35">
      <c r="A25" s="5" t="s">
        <v>28</v>
      </c>
      <c r="B25" s="6">
        <v>4.5</v>
      </c>
      <c r="C25" s="6">
        <v>4</v>
      </c>
      <c r="D25" s="6">
        <v>5</v>
      </c>
      <c r="E25" s="6">
        <v>5</v>
      </c>
    </row>
    <row r="26" spans="1:5" x14ac:dyDescent="0.35">
      <c r="A26" s="3" t="s">
        <v>29</v>
      </c>
      <c r="B26" s="4">
        <v>4.2</v>
      </c>
      <c r="C26" s="4">
        <v>1</v>
      </c>
      <c r="D26" s="4">
        <v>4</v>
      </c>
      <c r="E26" s="4">
        <v>0</v>
      </c>
    </row>
    <row r="27" spans="1:5" x14ac:dyDescent="0.35">
      <c r="A27" s="5" t="s">
        <v>30</v>
      </c>
      <c r="B27" s="6">
        <v>5</v>
      </c>
      <c r="C27" s="6">
        <v>4.5</v>
      </c>
      <c r="D27" s="6">
        <v>5</v>
      </c>
      <c r="E27" s="6">
        <f>2+1.5+1.5</f>
        <v>5</v>
      </c>
    </row>
    <row r="28" spans="1:5" x14ac:dyDescent="0.35">
      <c r="A28" s="3" t="s">
        <v>31</v>
      </c>
      <c r="B28" s="4">
        <v>4.5</v>
      </c>
      <c r="C28" s="4">
        <v>4</v>
      </c>
      <c r="D28" s="4">
        <v>5</v>
      </c>
      <c r="E28" s="4">
        <f>2+1.5+1.3</f>
        <v>4.8</v>
      </c>
    </row>
    <row r="29" spans="1:5" x14ac:dyDescent="0.35">
      <c r="A29" s="5" t="s">
        <v>32</v>
      </c>
      <c r="B29" s="6">
        <v>4.3</v>
      </c>
      <c r="C29" s="6">
        <v>4.2</v>
      </c>
      <c r="D29" s="6">
        <v>5</v>
      </c>
      <c r="E29" s="6">
        <f>0.5+1.5+0.8</f>
        <v>2.8</v>
      </c>
    </row>
    <row r="30" spans="1:5" x14ac:dyDescent="0.35">
      <c r="A30" s="3" t="s">
        <v>33</v>
      </c>
      <c r="B30" s="4">
        <v>5</v>
      </c>
      <c r="C30" s="4">
        <v>4.2</v>
      </c>
      <c r="D30" s="4">
        <v>4</v>
      </c>
      <c r="E30" s="4">
        <v>0</v>
      </c>
    </row>
    <row r="31" spans="1:5" x14ac:dyDescent="0.35">
      <c r="A31" s="5" t="s">
        <v>34</v>
      </c>
      <c r="B31" s="6">
        <v>4</v>
      </c>
      <c r="C31" s="6">
        <v>5</v>
      </c>
      <c r="D31" s="6">
        <v>5</v>
      </c>
      <c r="E31" s="6">
        <f>1.8+1.5+1.5</f>
        <v>4.8</v>
      </c>
    </row>
    <row r="32" spans="1:5" x14ac:dyDescent="0.35">
      <c r="A32" s="3" t="s">
        <v>35</v>
      </c>
      <c r="B32" s="4">
        <v>5</v>
      </c>
      <c r="C32" s="4">
        <v>4.5</v>
      </c>
      <c r="D32" s="4">
        <v>5</v>
      </c>
      <c r="E32" s="4">
        <f>1.5+0.8+1.2</f>
        <v>3.5</v>
      </c>
    </row>
    <row r="33" spans="1:5" x14ac:dyDescent="0.35">
      <c r="A33" s="5" t="s">
        <v>36</v>
      </c>
      <c r="B33" s="6">
        <v>4.5</v>
      </c>
      <c r="C33" s="6">
        <v>4</v>
      </c>
      <c r="D33" s="6">
        <v>5</v>
      </c>
      <c r="E33" s="6">
        <v>4.2</v>
      </c>
    </row>
    <row r="34" spans="1:5" x14ac:dyDescent="0.35">
      <c r="A34" s="3" t="s">
        <v>37</v>
      </c>
      <c r="B34" s="4">
        <v>4.5</v>
      </c>
      <c r="C34" s="4">
        <v>4</v>
      </c>
      <c r="D34" s="4">
        <v>5</v>
      </c>
      <c r="E34" s="4">
        <f>2+1.5+1.5</f>
        <v>5</v>
      </c>
    </row>
    <row r="35" spans="1:5" x14ac:dyDescent="0.35">
      <c r="A35" s="5" t="s">
        <v>38</v>
      </c>
      <c r="B35" s="6">
        <v>2</v>
      </c>
      <c r="C35" s="6">
        <v>4.2</v>
      </c>
      <c r="D35" s="6">
        <v>4.5</v>
      </c>
      <c r="E35" s="6">
        <v>0</v>
      </c>
    </row>
    <row r="36" spans="1:5" x14ac:dyDescent="0.35">
      <c r="A36" s="3" t="s">
        <v>39</v>
      </c>
      <c r="B36" s="4">
        <v>4.3</v>
      </c>
      <c r="C36" s="4">
        <v>4.2</v>
      </c>
      <c r="D36" s="4">
        <v>5</v>
      </c>
      <c r="E36" s="4">
        <f>2+1.3+1.5</f>
        <v>4.8</v>
      </c>
    </row>
  </sheetData>
  <conditionalFormatting sqref="E2:E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E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Alexander Puertas Del Castillo</dc:creator>
  <cp:lastModifiedBy>Edwin Alexander Puertas Del Castillo</cp:lastModifiedBy>
  <dcterms:created xsi:type="dcterms:W3CDTF">2026-04-20T22:09:57Z</dcterms:created>
  <dcterms:modified xsi:type="dcterms:W3CDTF">2026-04-20T22:10:48Z</dcterms:modified>
</cp:coreProperties>
</file>