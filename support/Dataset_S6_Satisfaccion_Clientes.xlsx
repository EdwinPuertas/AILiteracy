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ecnoutb-my.sharepoint.com/personal/epuerta_utb_edu_co/Documents/Academic/AI Literacy/support/"/>
    </mc:Choice>
  </mc:AlternateContent>
  <xr:revisionPtr revIDLastSave="6" documentId="11_6D3F027E3055946F4CA7E660A23F07594651153D" xr6:coauthVersionLast="47" xr6:coauthVersionMax="47" xr10:uidLastSave="{5BC74C7D-FC29-44A6-B3E7-54F5D8C7EFB8}"/>
  <bookViews>
    <workbookView xWindow="28680" yWindow="-120" windowWidth="29040" windowHeight="15720" tabRatio="500" activeTab="3" xr2:uid="{00000000-000D-0000-FFFF-FFFF00000000}"/>
  </bookViews>
  <sheets>
    <sheet name="satisfaccion_clientes" sheetId="1" r:id="rId1"/>
    <sheet name="diccionario_datos" sheetId="2" r:id="rId2"/>
    <sheet name="tabla_self_consistency" sheetId="3" r:id="rId3"/>
    <sheet name="datasets_libre_acceso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3" i="3" l="1"/>
  <c r="D33" i="3"/>
  <c r="C33" i="3"/>
  <c r="B33" i="3"/>
  <c r="D39" i="1"/>
  <c r="D38" i="1"/>
  <c r="D37" i="1"/>
</calcChain>
</file>

<file path=xl/sharedStrings.xml><?xml version="1.0" encoding="utf-8"?>
<sst xmlns="http://schemas.openxmlformats.org/spreadsheetml/2006/main" count="335" uniqueCount="229">
  <si>
    <t>UTB · Taller S4 · Dataset: satisfaccion_clientes_sintetica.xlsx · 30 registros ficticios</t>
  </si>
  <si>
    <t>Sesión 4 · Self-Consistency para Mejorar Confiabilidad · Todos los datos son FICTICIOS</t>
  </si>
  <si>
    <t>ID Cliente</t>
  </si>
  <si>
    <t>Fecha Encuesta</t>
  </si>
  <si>
    <t>Canal</t>
  </si>
  <si>
    <t>Calificación (1–5)</t>
  </si>
  <si>
    <t>Comentario</t>
  </si>
  <si>
    <t>Segmento</t>
  </si>
  <si>
    <t>Tiempo Resolución (min)</t>
  </si>
  <si>
    <t>Recomendaría</t>
  </si>
  <si>
    <t>NPS Calculado</t>
  </si>
  <si>
    <t>id_cliente</t>
  </si>
  <si>
    <t>fecha_encuesta</t>
  </si>
  <si>
    <t>canal</t>
  </si>
  <si>
    <t>calificacion</t>
  </si>
  <si>
    <t>comentario</t>
  </si>
  <si>
    <t>segmento</t>
  </si>
  <si>
    <t>tiempo_resolucion_min</t>
  </si>
  <si>
    <t>recomendaria</t>
  </si>
  <si>
    <t>nps_calculado</t>
  </si>
  <si>
    <t>CLI-001</t>
  </si>
  <si>
    <t>Presencial</t>
  </si>
  <si>
    <t>La atención virtual fue perfecta. Muy intuitiva y rápida.</t>
  </si>
  <si>
    <t>Estudiante</t>
  </si>
  <si>
    <t>Sí</t>
  </si>
  <si>
    <t>CLI-002</t>
  </si>
  <si>
    <t>Muy buen servicio. Rápido, claro y eficiente. Lo recomendaría.</t>
  </si>
  <si>
    <t>Gobierno</t>
  </si>
  <si>
    <t>CLI-003</t>
  </si>
  <si>
    <t>La información en la web estaba desactualizada, perdí mucho tiempo.</t>
  </si>
  <si>
    <t>Personal</t>
  </si>
  <si>
    <t>No</t>
  </si>
  <si>
    <t>CLI-004</t>
  </si>
  <si>
    <t>Telefónico</t>
  </si>
  <si>
    <t>Empresarial</t>
  </si>
  <si>
    <t>CLI-005</t>
  </si>
  <si>
    <t>Virtual</t>
  </si>
  <si>
    <t>Esperaba mejor servicio, aunque al final resolvi mi problema.</t>
  </si>
  <si>
    <t>CLI-006</t>
  </si>
  <si>
    <t>Pésima atención al cliente, siento que no valoran mi tiempo.</t>
  </si>
  <si>
    <t>CLI-007</t>
  </si>
  <si>
    <t>App</t>
  </si>
  <si>
    <t>Muy satisfecho con el servicio. El tiempo de respuesta fue excelente.</t>
  </si>
  <si>
    <t>CLI-008</t>
  </si>
  <si>
    <t>Increíble experiencia. Superó todas mis expectativas.</t>
  </si>
  <si>
    <t>CLI-009</t>
  </si>
  <si>
    <t>El servicio mejoró notablemente. Muy buena atención al cliente.</t>
  </si>
  <si>
    <t>CLI-010</t>
  </si>
  <si>
    <t>El equipo fue muy profesional y me acompañó en todo el proceso.</t>
  </si>
  <si>
    <t>CLI-011</t>
  </si>
  <si>
    <t>CLI-012</t>
  </si>
  <si>
    <t>La atención fue correcta, nada extraordinario pero cumplió lo básico.</t>
  </si>
  <si>
    <t>CLI-013</t>
  </si>
  <si>
    <t>CLI-014</t>
  </si>
  <si>
    <t>Proceso ágil y personal muy capacitado. ¡Felicitaciones al equipo!</t>
  </si>
  <si>
    <t>CLI-015</t>
  </si>
  <si>
    <t>CLI-016</t>
  </si>
  <si>
    <t>CLI-017</t>
  </si>
  <si>
    <t>La atención fue muy deficiente, el personal no sabía cómo ayudarme.</t>
  </si>
  <si>
    <t>CLI-018</t>
  </si>
  <si>
    <t>CLI-019</t>
  </si>
  <si>
    <t>Hay aspectos a mejorar, especialmente en la comunicación con el cliente.</t>
  </si>
  <si>
    <t>CLI-020</t>
  </si>
  <si>
    <t>CLI-021</t>
  </si>
  <si>
    <t>CLI-022</t>
  </si>
  <si>
    <t>CLI-023</t>
  </si>
  <si>
    <t>CLI-024</t>
  </si>
  <si>
    <t>CLI-025</t>
  </si>
  <si>
    <t>Muy mala experiencia. El sistema online falló tres veces durante el proceso.</t>
  </si>
  <si>
    <t>CLI-026</t>
  </si>
  <si>
    <t>CLI-027</t>
  </si>
  <si>
    <t>CLI-028</t>
  </si>
  <si>
    <t>El proceso fue algo confuso pero al final lograron resolverlo.</t>
  </si>
  <si>
    <t>CLI-029</t>
  </si>
  <si>
    <t>El tiempo de espera fue demasiado largo, más de dos horas sin respuesta.</t>
  </si>
  <si>
    <t>CLI-030</t>
  </si>
  <si>
    <t>No recibí ninguna respuesta a mi solicitud durante varios días.</t>
  </si>
  <si>
    <t>RESUMEN ESTADÍSTICO</t>
  </si>
  <si>
    <t>Calificación promedio</t>
  </si>
  <si>
    <t>Tasa de recomendación (Sí)</t>
  </si>
  <si>
    <t>Tiempo promedio resolución (min)</t>
  </si>
  <si>
    <t>Campo (nombre técnico)</t>
  </si>
  <si>
    <t>Tipo de dato</t>
  </si>
  <si>
    <t>Valores / Rango</t>
  </si>
  <si>
    <t>Descripción del campo</t>
  </si>
  <si>
    <t>Uso en el taller</t>
  </si>
  <si>
    <t>Notas para el prompt CoT</t>
  </si>
  <si>
    <t>Nivel de análisis</t>
  </si>
  <si>
    <t>Texto (string)</t>
  </si>
  <si>
    <t>CLI-001 a CLI-030</t>
  </si>
  <si>
    <t>Identificador único ficticio del cliente encuestado. No corresponde a ninguna persona real.</t>
  </si>
  <si>
    <t>Referencia para asociar comentarios y calificaciones.</t>
  </si>
  <si>
    <t>No incluir en el prompt — es un ID técnico sin valor analítico.</t>
  </si>
  <si>
    <t>Operacional</t>
  </si>
  <si>
    <t>Fecha (DD/MM/AAAA)</t>
  </si>
  <si>
    <t>01/01/2024 – 30/03/2024</t>
  </si>
  <si>
    <t>Fecha en que se realizó la encuesta de satisfacción. Período: primer trimestre 2024.</t>
  </si>
  <si>
    <t>Permite análisis temporal: ¿cambia la satisfacción a lo largo del trimestre?</t>
  </si>
  <si>
    <t>Útil para preguntar: 'Identifica si la satisfacción cambió entre enero y marzo'.</t>
  </si>
  <si>
    <t>Temporal</t>
  </si>
  <si>
    <t>Categórico</t>
  </si>
  <si>
    <t>Presencial, Virtual, Telefónico, App</t>
  </si>
  <si>
    <t>Canal a través del cual el cliente interactuó con el servicio antes de ser encuestado.</t>
  </si>
  <si>
    <t>Comparar satisfacción por canal. Clave para segmentar análisis.</t>
  </si>
  <si>
    <t>Útil en: 'Analiza si hay diferencias de satisfacción según el canal de atención'.</t>
  </si>
  <si>
    <t>Segmentación</t>
  </si>
  <si>
    <t>Entero (1–5)</t>
  </si>
  <si>
    <t>1=Muy insatisfecho, 2=Insatisfecho, 3=Neutral, 4=Satisfecho, 5=Muy satisfecho</t>
  </si>
  <si>
    <t>Calificación numérica general de satisfacción dada por el cliente en escala Likert de 5 puntos.</t>
  </si>
  <si>
    <t>Variable cuantitativa principal. Base para calcular promedios y distribuciones.</t>
  </si>
  <si>
    <t>Clave en el prompt: 'Los clientes con calificación ≤2 representan...' — pide análisis por rango.</t>
  </si>
  <si>
    <t>Cuantitativo</t>
  </si>
  <si>
    <t>Texto libre (string)</t>
  </si>
  <si>
    <t>Texto en español, 10–40 palabras aprox.</t>
  </si>
  <si>
    <t>Opinión abierta del cliente sobre su experiencia. Generada sintéticamente para reflejar sentimientos negativos, neutrales y positivos de forma realista.</t>
  </si>
  <si>
    <t>Input principal para análisis de sentimiento, clasificación y síntesis con IA.</t>
  </si>
  <si>
    <t>El prompt CoT más rico: 'Clasifica el sentimiento de cada comentario y justifica paso a paso'.</t>
  </si>
  <si>
    <t>Cualitativo / NLP</t>
  </si>
  <si>
    <t>Empresarial, Personal, Estudiante, Gobierno</t>
  </si>
  <si>
    <t>Segmento de cliente al que pertenece el encuestado. Permite análisis diferenciado por tipo de usuario.</t>
  </si>
  <si>
    <t>Segmentar el análisis: ¿qué segmento está más insatisfecho?</t>
  </si>
  <si>
    <t>Útil en: 'Para el segmento Estudiante, ¿cuál es el problema más frecuente?'</t>
  </si>
  <si>
    <t>Entero (minutos)</t>
  </si>
  <si>
    <t>8 – 250 minutos</t>
  </si>
  <si>
    <t>Tiempo en minutos que tomó resolver la solicitud del cliente. Valores altos se correlacionan con mayor insatisfacción.</t>
  </si>
  <si>
    <t>Analizar correlación entre tiempo de espera y calificación.</t>
  </si>
  <si>
    <t>Útil en: 'Identifica si los clientes con tiempo &gt; 120 min tienen calificaciones más bajas'.</t>
  </si>
  <si>
    <t>Booleano (Sí/No)</t>
  </si>
  <si>
    <t>Sí, No</t>
  </si>
  <si>
    <t>Indica si el cliente recomendaría el servicio a otras personas. Proxy de NPS (Net Promoter Score).</t>
  </si>
  <si>
    <t>Calcular tasa de recomendación y correlacionar con calificación.</t>
  </si>
  <si>
    <t>Útil en: '¿Qué porcentaje de clientes con calificación 4–5 recomendarían el servicio?'</t>
  </si>
  <si>
    <t>Binario / NPS</t>
  </si>
  <si>
    <t>Entero (0–10)</t>
  </si>
  <si>
    <t>0 (muy insatisfecho) – 10 (muy satisfecho)</t>
  </si>
  <si>
    <t>Puntaje NPS calculado a partir de la calificación: cal 1→0, cal 2→2, cal 3→4, cal 4→7, cal 5→10. Valor derivado, no capturado directamente.</t>
  </si>
  <si>
    <t>Análisis NPS simplificado para comparar segmentos y canales.</t>
  </si>
  <si>
    <t>Útil en: 'Calcula el NPS promedio por canal e interpreta paso a paso los resultados'.</t>
  </si>
  <si>
    <t>Derivado / NPS</t>
  </si>
  <si>
    <t>NOTAS GENERALES SOBRE EL DISEÑO DEL DATASET</t>
  </si>
  <si>
    <t>Intención del diseño</t>
  </si>
  <si>
    <t>Los 30 registros fueron diseñados sintéticamente para reflejar una distribución realista: ~35% negativos, ~25% neutrales, ~40% positivos. Ningún registro corresponde a datos reales.</t>
  </si>
  <si>
    <t>Variabilidad intencional</t>
  </si>
  <si>
    <t>Se incluyeron comentarios con sentimientos mixtos y ambiguos para que la IA genere respuestas variables — esto es lo que Self-Consistency aprovecha.</t>
  </si>
  <si>
    <t>Distribución por canal</t>
  </si>
  <si>
    <t>Aproximadamente: 25% Presencial, 30% Virtual, 25% Telefónico, 20% App. No todos los canales tienen la misma satisfacción promedio.</t>
  </si>
  <si>
    <t>Distribución por segmento</t>
  </si>
  <si>
    <t>Aproximadamente: 30% Estudiante, 25% Personal, 25% Empresarial, 20% Gobierno.</t>
  </si>
  <si>
    <t>Uso ético</t>
  </si>
  <si>
    <t>Este dataset es de uso exclusivo para fines educativos en el curso. No representa datos reales de ninguna organización.</t>
  </si>
  <si>
    <t>UTB · Tabla de Comparación: Self-Consistency (Ficha de trabajo del participante)</t>
  </si>
  <si>
    <t>Registra las 3 ejecuciones del mismo prompt y selecciona la respuesta más sólida</t>
  </si>
  <si>
    <t>Mi prompt (escribe aquí el prompt que ejecutaste 3 veces):</t>
  </si>
  <si>
    <t>Dimensión de análisis</t>
  </si>
  <si>
    <t>Respuesta 1</t>
  </si>
  <si>
    <t>Respuesta 2</t>
  </si>
  <si>
    <t>Respuesta 3</t>
  </si>
  <si>
    <t>Coincidencias clave</t>
  </si>
  <si>
    <t>Diferencias clave</t>
  </si>
  <si>
    <t>Respuesta seleccionada</t>
  </si>
  <si>
    <t>Problema/tema principal identificado</t>
  </si>
  <si>
    <t>Sentimiento dominante detectado</t>
  </si>
  <si>
    <t>Número de problemas identificados</t>
  </si>
  <si>
    <t>Recomendación de mejora propuesta</t>
  </si>
  <si>
    <t>Segmento más afectado mencionado</t>
  </si>
  <si>
    <t>Canal con peor desempeño señalado</t>
  </si>
  <si>
    <t>Coherencia del razonamiento (1–4)</t>
  </si>
  <si>
    <t>Completitud de la respuesta (1–4)</t>
  </si>
  <si>
    <t>JUSTIFICACIÓN DE LA SELECCIÓN FINAL</t>
  </si>
  <si>
    <t>¿Por qué elegiste esa respuesta? Argumenta usando los criterios de la rúbrica:</t>
  </si>
  <si>
    <t>PUNTAJES DE LA RÚBRICA (1=Insuficiente → 4=Excelente)</t>
  </si>
  <si>
    <t>Criterio</t>
  </si>
  <si>
    <t>R1 Puntaje</t>
  </si>
  <si>
    <t>R2 Puntaje</t>
  </si>
  <si>
    <t>R3 Puntaje</t>
  </si>
  <si>
    <t>Criterio ganador</t>
  </si>
  <si>
    <t>Completitud</t>
  </si>
  <si>
    <t>Coherencia del razonamiento</t>
  </si>
  <si>
    <t>Consistencia con datos</t>
  </si>
  <si>
    <t>Accionabilidad</t>
  </si>
  <si>
    <t>Ausencia de alucinaciones</t>
  </si>
  <si>
    <t>Coincidencia con otras ejecuciones</t>
  </si>
  <si>
    <t>TOTAL (máx. 24)</t>
  </si>
  <si>
    <t>UTB · Sesión 4 · Datasets de Libre Acceso Sugeridos para Self-Consistency</t>
  </si>
  <si>
    <t>Alternativas al dataset sintético — requieren registro o descarga</t>
  </si>
  <si>
    <t>Dataset</t>
  </si>
  <si>
    <t>Fuente / Plataforma</t>
  </si>
  <si>
    <t>URL de Descarga</t>
  </si>
  <si>
    <t>Descripción</t>
  </si>
  <si>
    <t>Campos clave</t>
  </si>
  <si>
    <t>Uso en Self-Consistency</t>
  </si>
  <si>
    <t>Amazon Product Reviews (subset)</t>
  </si>
  <si>
    <t>UCSD / Kaggle</t>
  </si>
  <si>
    <t>https://cseweb.ucsd.edu/~jmcauley/datasets/amazon_v2/</t>
  </si>
  <si>
    <t>Millones de reseñas de productos con calificación (1–5) y texto libre. Múltiples categorías disponibles.</t>
  </si>
  <si>
    <t>reviewerID, asin, reviewText, overall (1-5), summary, unixReviewTime, verified</t>
  </si>
  <si>
    <t>Clasificación de sentimiento de reseñas. Ideal para comparar 3-5 respuestas del mismo prompt de análisis.</t>
  </si>
  <si>
    <t>Yelp Open Dataset</t>
  </si>
  <si>
    <t>Yelp Inc.</t>
  </si>
  <si>
    <t>https://www.yelp.com/dataset</t>
  </si>
  <si>
    <t>7M+ reseñas de negocios con rating, texto, ciudad y categoría. Requiere registro gratuito.</t>
  </si>
  <si>
    <t>review_id, stars (1-5), text, date, business_id, user_id, useful, funny, cool</t>
  </si>
  <si>
    <t>Analizar sentimiento por categoría de negocio. Prompt: 'Clasifica estos comentarios y detecta los 2 problemas principales'.</t>
  </si>
  <si>
    <t>Twitter US Airline Sentiment</t>
  </si>
  <si>
    <t>Kaggle / Crowdflower</t>
  </si>
  <si>
    <t>https://www.kaggle.com/datasets/crowdflower/twitter-airline-sentiment</t>
  </si>
  <si>
    <t>14,640 tweets sobre aerolíneas etiquetados como positive/neutral/negative. Listo para descarga en CSV.</t>
  </si>
  <si>
    <t>tweet_id, airline_sentiment, airline_sentiment_confidence, airline, text, tweet_created, retweet_count</t>
  </si>
  <si>
    <t>Clasificación de sentimiento de tweets. Muy útil para demostrar variabilidad entre ejecuciones del mismo prompt.</t>
  </si>
  <si>
    <t>IMDB Movie Reviews</t>
  </si>
  <si>
    <t>Kaggle / Stanford</t>
  </si>
  <si>
    <t>https://www.kaggle.com/datasets/lakshmi25npathi/imdb-dataset-of-50k-movie-reviews</t>
  </si>
  <si>
    <t>50,000 reseñas de películas etiquetadas (positive/negative). Benchmark clásico en NLP.</t>
  </si>
  <si>
    <t>review (texto), sentiment (positive/negative)</t>
  </si>
  <si>
    <t>Ideal para demostrar que SC mejora la consistencia en clasificación de textos largos y ambiguos.</t>
  </si>
  <si>
    <t>E-Commerce Clothing Reviews</t>
  </si>
  <si>
    <t>Kaggle</t>
  </si>
  <si>
    <t>https://www.kaggle.com/datasets/nicapotato/womens-ecommerce-clothing-reviews</t>
  </si>
  <si>
    <t>23,486 reseñas de ropa con calificación, título, texto y recomendación. Muy limpio, listo para usar.</t>
  </si>
  <si>
    <t>Clothing ID, Age, Title, Review Text, Rating (1-5), Recommended IND, Division Name, Department Name</t>
  </si>
  <si>
    <t>Análisis de satisfacción por categoría de producto. Prompt: 'Identifica problemas por departamento paso a paso'.</t>
  </si>
  <si>
    <t>Customer Support on Twitter</t>
  </si>
  <si>
    <t>https://www.kaggle.com/datasets/thoughtvector/customer-support-on-twitter</t>
  </si>
  <si>
    <t>2.8M tweets de soporte al cliente de grandes empresas (Apple, Amazon, etc.). Incluye respuestas oficiales.</t>
  </si>
  <si>
    <t>tweet_id, author_id, inbound (bool), created_at, text, response_tweet_id, in_response_to_tweet_id</t>
  </si>
  <si>
    <t>Analizar calidad de respuestas de soporte. Ideal para SC: 'Evalúa si esta respuesta resuelve el problema'.</t>
  </si>
  <si>
    <t>NOTA: Para este taller se recomienda usar el dataset sintético incluido. Los datasets anteriores son opciones para práctica adicional o proyectos finales.</t>
  </si>
  <si>
    <t>UTB · Diccionario de Datos: Satisfaccion Clientes</t>
  </si>
  <si>
    <t>Sesión 6 · Self-Consistency · Documento de referencia del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</si>
</sst>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b/>
      <sz val="11"/>
      <color rgb="FFE8E9F5"/>
      <name val="Calibri"/>
      <charset val="1"/>
    </font>
    <font>
      <b/>
      <sz val="10"/>
      <color rgb="FFFFFFFF"/>
      <name val="Calibri"/>
      <charset val="1"/>
    </font>
    <font>
      <b/>
      <sz val="9"/>
      <color rgb="FFAABBDD"/>
      <name val="Calibri"/>
      <charset val="1"/>
    </font>
    <font>
      <sz val="10"/>
      <color rgb="FF231F20"/>
      <name val="Calibri"/>
      <charset val="1"/>
    </font>
    <font>
      <b/>
      <sz val="10"/>
      <color rgb="FF238241"/>
      <name val="Calibri"/>
      <charset val="1"/>
    </font>
    <font>
      <b/>
      <sz val="10"/>
      <color rgb="FFDC2626"/>
      <name val="Calibri"/>
      <charset val="1"/>
    </font>
    <font>
      <b/>
      <sz val="10"/>
      <color rgb="FFD97706"/>
      <name val="Calibri"/>
      <charset val="1"/>
    </font>
    <font>
      <sz val="10"/>
      <color rgb="FFD97706"/>
      <name val="Calibri"/>
      <charset val="1"/>
    </font>
    <font>
      <b/>
      <sz val="10"/>
      <color rgb="FF303990"/>
      <name val="Calibri"/>
      <charset val="1"/>
    </font>
    <font>
      <b/>
      <sz val="9"/>
      <color rgb="FF5560A8"/>
      <name val="Calibri"/>
      <charset val="1"/>
    </font>
    <font>
      <sz val="9"/>
      <color rgb="FF231F20"/>
      <name val="Calibri"/>
      <charset val="1"/>
    </font>
    <font>
      <i/>
      <sz val="9"/>
      <color rgb="FF238241"/>
      <name val="Calibri"/>
      <charset val="1"/>
    </font>
    <font>
      <sz val="9"/>
      <color rgb="FF303990"/>
      <name val="Calibri"/>
      <charset val="1"/>
    </font>
    <font>
      <sz val="10"/>
      <color rgb="FF303990"/>
      <name val="Calibri"/>
      <charset val="1"/>
    </font>
    <font>
      <b/>
      <i/>
      <sz val="9"/>
      <color rgb="FF5560A8"/>
      <name val="Calibri"/>
      <charset val="1"/>
    </font>
    <font>
      <sz val="9"/>
      <color rgb="FF238241"/>
      <name val="Calibri"/>
      <charset val="1"/>
    </font>
    <font>
      <b/>
      <sz val="11"/>
      <color rgb="FF303990"/>
      <name val="Calibri"/>
      <charset val="1"/>
    </font>
  </fonts>
  <fills count="12">
    <fill>
      <patternFill patternType="none"/>
    </fill>
    <fill>
      <patternFill patternType="gray125"/>
    </fill>
    <fill>
      <patternFill patternType="solid">
        <fgColor rgb="FF303990"/>
        <bgColor rgb="FF1A3278"/>
      </patternFill>
    </fill>
    <fill>
      <patternFill patternType="solid">
        <fgColor rgb="FF5560A8"/>
        <bgColor rgb="FF3366FF"/>
      </patternFill>
    </fill>
    <fill>
      <patternFill patternType="solid">
        <fgColor rgb="FF1A3278"/>
        <bgColor rgb="FF303990"/>
      </patternFill>
    </fill>
    <fill>
      <patternFill patternType="solid">
        <fgColor rgb="FFFFFFFF"/>
        <bgColor rgb="FFF5F5F5"/>
      </patternFill>
    </fill>
    <fill>
      <patternFill patternType="solid">
        <fgColor rgb="FFE6F4EA"/>
        <bgColor rgb="FFF5F5F5"/>
      </patternFill>
    </fill>
    <fill>
      <patternFill patternType="solid">
        <fgColor rgb="FFF5F5F5"/>
        <bgColor rgb="FFE6F4EA"/>
      </patternFill>
    </fill>
    <fill>
      <patternFill patternType="solid">
        <fgColor rgb="FFFEE2E2"/>
        <bgColor rgb="FFE8E9F5"/>
      </patternFill>
    </fill>
    <fill>
      <patternFill patternType="solid">
        <fgColor rgb="FFFEF3C7"/>
        <bgColor rgb="FFFEE2E2"/>
      </patternFill>
    </fill>
    <fill>
      <patternFill patternType="solid">
        <fgColor rgb="FFE8E9F5"/>
        <bgColor rgb="FFE6F4EA"/>
      </patternFill>
    </fill>
    <fill>
      <patternFill patternType="solid">
        <fgColor rgb="FF238241"/>
        <bgColor rgb="FF008080"/>
      </patternFill>
    </fill>
  </fills>
  <borders count="8">
    <border>
      <left/>
      <right/>
      <top/>
      <bottom/>
      <diagonal/>
    </border>
    <border>
      <left style="thin">
        <color rgb="FF303990"/>
      </left>
      <right style="thin">
        <color rgb="FF303990"/>
      </right>
      <top style="thin">
        <color rgb="FF303990"/>
      </top>
      <bottom style="thin">
        <color rgb="FF30399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303990"/>
      </left>
      <right/>
      <top style="thin">
        <color rgb="FF303990"/>
      </top>
      <bottom style="thin">
        <color rgb="FF303990"/>
      </bottom>
      <diagonal/>
    </border>
    <border>
      <left style="thin">
        <color rgb="FF238241"/>
      </left>
      <right style="thin">
        <color rgb="FF238241"/>
      </right>
      <top style="thin">
        <color rgb="FF238241"/>
      </top>
      <bottom style="thin">
        <color rgb="FF238241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n">
        <color rgb="FF303990"/>
      </left>
      <right/>
      <top style="thin">
        <color rgb="FF303990"/>
      </top>
      <bottom/>
      <diagonal/>
    </border>
    <border>
      <left style="thin">
        <color rgb="FF238241"/>
      </left>
      <right/>
      <top style="thin">
        <color rgb="FF238241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8" fillId="10" borderId="0" xfId="0" applyFont="1" applyFill="1" applyAlignment="1">
      <alignment horizontal="center" vertical="center" wrapText="1"/>
    </xf>
    <xf numFmtId="0" fontId="10" fillId="6" borderId="7" xfId="0" applyFont="1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 wrapText="1"/>
    </xf>
    <xf numFmtId="0" fontId="12" fillId="5" borderId="5" xfId="0" applyFont="1" applyFill="1" applyBorder="1" applyAlignment="1">
      <alignment horizontal="left" vertical="center" wrapText="1"/>
    </xf>
    <xf numFmtId="0" fontId="1" fillId="11" borderId="0" xfId="0" applyFont="1" applyFill="1" applyAlignment="1">
      <alignment horizontal="center" vertical="center" wrapText="1"/>
    </xf>
    <xf numFmtId="0" fontId="10" fillId="10" borderId="3" xfId="0" applyFont="1" applyFill="1" applyBorder="1"/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14" fontId="5" fillId="5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14" fontId="5" fillId="7" borderId="2" xfId="0" applyNumberFormat="1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2" fontId="6" fillId="6" borderId="4" xfId="0" applyNumberFormat="1" applyFont="1" applyFill="1" applyBorder="1" applyAlignment="1">
      <alignment horizontal="center" vertical="center" wrapText="1"/>
    </xf>
    <xf numFmtId="9" fontId="6" fillId="6" borderId="4" xfId="0" applyNumberFormat="1" applyFont="1" applyFill="1" applyBorder="1" applyAlignment="1">
      <alignment horizontal="center" vertical="center" wrapText="1"/>
    </xf>
    <xf numFmtId="164" fontId="6" fillId="6" borderId="4" xfId="0" applyNumberFormat="1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top" wrapText="1"/>
    </xf>
    <xf numFmtId="0" fontId="11" fillId="5" borderId="2" xfId="0" applyFont="1" applyFill="1" applyBorder="1" applyAlignment="1">
      <alignment horizontal="center" vertical="top" wrapText="1"/>
    </xf>
    <xf numFmtId="0" fontId="12" fillId="5" borderId="2" xfId="0" applyFont="1" applyFill="1" applyBorder="1" applyAlignment="1">
      <alignment horizontal="left" vertical="top" wrapText="1"/>
    </xf>
    <xf numFmtId="0" fontId="13" fillId="5" borderId="2" xfId="0" applyFont="1" applyFill="1" applyBorder="1" applyAlignment="1">
      <alignment horizontal="left" vertical="top" wrapText="1"/>
    </xf>
    <xf numFmtId="0" fontId="14" fillId="5" borderId="2" xfId="0" applyFont="1" applyFill="1" applyBorder="1" applyAlignment="1">
      <alignment horizontal="left" vertical="top" wrapText="1"/>
    </xf>
    <xf numFmtId="0" fontId="12" fillId="5" borderId="2" xfId="0" applyFont="1" applyFill="1" applyBorder="1" applyAlignment="1">
      <alignment horizontal="center" vertical="top" wrapText="1"/>
    </xf>
    <xf numFmtId="0" fontId="10" fillId="7" borderId="2" xfId="0" applyFont="1" applyFill="1" applyBorder="1" applyAlignment="1">
      <alignment horizontal="center" vertical="top" wrapText="1"/>
    </xf>
    <xf numFmtId="0" fontId="11" fillId="7" borderId="2" xfId="0" applyFont="1" applyFill="1" applyBorder="1" applyAlignment="1">
      <alignment horizontal="center" vertical="top" wrapText="1"/>
    </xf>
    <xf numFmtId="0" fontId="12" fillId="7" borderId="2" xfId="0" applyFont="1" applyFill="1" applyBorder="1" applyAlignment="1">
      <alignment horizontal="left" vertical="top" wrapText="1"/>
    </xf>
    <xf numFmtId="0" fontId="13" fillId="7" borderId="2" xfId="0" applyFont="1" applyFill="1" applyBorder="1" applyAlignment="1">
      <alignment horizontal="left" vertical="top" wrapText="1"/>
    </xf>
    <xf numFmtId="0" fontId="14" fillId="7" borderId="2" xfId="0" applyFont="1" applyFill="1" applyBorder="1" applyAlignment="1">
      <alignment horizontal="left" vertical="top" wrapText="1"/>
    </xf>
    <xf numFmtId="0" fontId="12" fillId="7" borderId="2" xfId="0" applyFont="1" applyFill="1" applyBorder="1" applyAlignment="1">
      <alignment horizontal="center" vertical="top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0" borderId="1" xfId="0" applyFont="1" applyFill="1" applyBorder="1"/>
    <xf numFmtId="0" fontId="0" fillId="7" borderId="2" xfId="0" applyFill="1" applyBorder="1" applyAlignment="1">
      <alignment horizontal="left" vertical="top" wrapText="1"/>
    </xf>
    <xf numFmtId="0" fontId="0" fillId="6" borderId="2" xfId="0" applyFill="1" applyBorder="1" applyAlignment="1">
      <alignment horizontal="left" vertical="top" wrapText="1"/>
    </xf>
    <xf numFmtId="0" fontId="0" fillId="5" borderId="2" xfId="0" applyFill="1" applyBorder="1" applyAlignment="1">
      <alignment horizontal="left" vertical="top" wrapText="1"/>
    </xf>
    <xf numFmtId="0" fontId="15" fillId="10" borderId="1" xfId="0" applyFont="1" applyFill="1" applyBorder="1"/>
    <xf numFmtId="0" fontId="0" fillId="7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3" fillId="2" borderId="1" xfId="0" applyFont="1" applyFill="1" applyBorder="1"/>
    <xf numFmtId="0" fontId="6" fillId="6" borderId="2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left" vertical="top" wrapText="1"/>
    </xf>
    <xf numFmtId="0" fontId="17" fillId="5" borderId="2" xfId="0" applyFont="1" applyFill="1" applyBorder="1" applyAlignment="1">
      <alignment horizontal="left" vertical="top" wrapText="1"/>
    </xf>
    <xf numFmtId="0" fontId="16" fillId="7" borderId="2" xfId="0" applyFont="1" applyFill="1" applyBorder="1" applyAlignment="1">
      <alignment horizontal="left" vertical="top" wrapText="1"/>
    </xf>
    <xf numFmtId="0" fontId="17" fillId="7" borderId="2" xfId="0" applyFont="1" applyFill="1" applyBorder="1" applyAlignment="1">
      <alignment horizontal="left" vertical="top" wrapText="1"/>
    </xf>
    <xf numFmtId="0" fontId="7" fillId="8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7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BDD"/>
      <rgbColor rgb="FF888888"/>
      <rgbColor rgb="FF9999FF"/>
      <rgbColor rgb="FF993366"/>
      <rgbColor rgb="FFFEF3C7"/>
      <rgbColor rgb="FFE6F4EA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9F5"/>
      <rgbColor rgb="FFF5F5F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D97706"/>
      <rgbColor rgb="FF5560A8"/>
      <rgbColor rgb="FF969696"/>
      <rgbColor rgb="FF1A3278"/>
      <rgbColor rgb="FF238241"/>
      <rgbColor rgb="FF003300"/>
      <rgbColor rgb="FF333300"/>
      <rgbColor rgb="FF993300"/>
      <rgbColor rgb="FF993366"/>
      <rgbColor rgb="FF303990"/>
      <rgbColor rgb="FF231F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03990"/>
  </sheetPr>
  <dimension ref="A1:I39"/>
  <sheetViews>
    <sheetView zoomScaleNormal="100" workbookViewId="0">
      <pane ySplit="4" topLeftCell="A5" activePane="bottomLeft" state="frozen"/>
      <selection pane="bottomLeft" activeCell="J9" sqref="J9"/>
    </sheetView>
  </sheetViews>
  <sheetFormatPr baseColWidth="10" defaultColWidth="8.6328125" defaultRowHeight="14.5" x14ac:dyDescent="0.35"/>
  <cols>
    <col min="1" max="1" width="14" customWidth="1"/>
    <col min="2" max="2" width="16" customWidth="1"/>
    <col min="3" max="3" width="14" customWidth="1"/>
    <col min="4" max="4" width="18" style="56" customWidth="1"/>
    <col min="5" max="5" width="52" customWidth="1"/>
    <col min="6" max="6" width="14" customWidth="1"/>
    <col min="7" max="7" width="22" style="56" customWidth="1"/>
    <col min="8" max="8" width="14" customWidth="1"/>
    <col min="9" max="9" width="16" customWidth="1"/>
  </cols>
  <sheetData>
    <row r="1" spans="1:9" ht="21.75" customHeight="1" x14ac:dyDescent="0.35">
      <c r="A1" s="10" t="s">
        <v>0</v>
      </c>
      <c r="B1" s="10"/>
      <c r="C1" s="10"/>
      <c r="D1" s="10"/>
      <c r="E1" s="10"/>
      <c r="F1" s="10"/>
      <c r="G1" s="10"/>
      <c r="H1" s="10"/>
      <c r="I1" s="10"/>
    </row>
    <row r="2" spans="1:9" ht="21.75" customHeight="1" x14ac:dyDescent="0.35">
      <c r="A2" s="9" t="s">
        <v>1</v>
      </c>
      <c r="B2" s="9"/>
      <c r="C2" s="9"/>
      <c r="D2" s="9"/>
      <c r="E2" s="9"/>
      <c r="F2" s="9"/>
      <c r="G2" s="9"/>
      <c r="H2" s="9"/>
      <c r="I2" s="9"/>
    </row>
    <row r="3" spans="1:9" ht="30" customHeight="1" x14ac:dyDescent="0.35">
      <c r="A3" s="11" t="s">
        <v>2</v>
      </c>
      <c r="B3" s="12" t="s">
        <v>3</v>
      </c>
      <c r="C3" s="11" t="s">
        <v>4</v>
      </c>
      <c r="D3" s="12" t="s">
        <v>5</v>
      </c>
      <c r="E3" s="11" t="s">
        <v>6</v>
      </c>
      <c r="F3" s="12" t="s">
        <v>7</v>
      </c>
      <c r="G3" s="11" t="s">
        <v>8</v>
      </c>
      <c r="H3" s="12" t="s">
        <v>9</v>
      </c>
      <c r="I3" s="11" t="s">
        <v>10</v>
      </c>
    </row>
    <row r="4" spans="1:9" ht="15.75" customHeight="1" x14ac:dyDescent="0.35">
      <c r="A4" s="13" t="s">
        <v>11</v>
      </c>
      <c r="B4" s="13" t="s">
        <v>12</v>
      </c>
      <c r="C4" s="13" t="s">
        <v>13</v>
      </c>
      <c r="D4" s="13" t="s">
        <v>14</v>
      </c>
      <c r="E4" s="13" t="s">
        <v>15</v>
      </c>
      <c r="F4" s="13" t="s">
        <v>16</v>
      </c>
      <c r="G4" s="13" t="s">
        <v>17</v>
      </c>
      <c r="H4" s="13" t="s">
        <v>18</v>
      </c>
      <c r="I4" s="13" t="s">
        <v>19</v>
      </c>
    </row>
    <row r="5" spans="1:9" x14ac:dyDescent="0.35">
      <c r="A5" s="14" t="s">
        <v>20</v>
      </c>
      <c r="B5" s="15">
        <v>45323</v>
      </c>
      <c r="C5" s="14" t="s">
        <v>21</v>
      </c>
      <c r="D5" s="49">
        <v>4</v>
      </c>
      <c r="E5" s="16" t="s">
        <v>22</v>
      </c>
      <c r="F5" s="14" t="s">
        <v>23</v>
      </c>
      <c r="G5" s="14">
        <v>65</v>
      </c>
      <c r="H5" s="17" t="s">
        <v>24</v>
      </c>
      <c r="I5" s="16">
        <v>7</v>
      </c>
    </row>
    <row r="6" spans="1:9" x14ac:dyDescent="0.35">
      <c r="A6" s="18" t="s">
        <v>25</v>
      </c>
      <c r="B6" s="19">
        <v>45296</v>
      </c>
      <c r="C6" s="18" t="s">
        <v>21</v>
      </c>
      <c r="D6" s="49">
        <v>4</v>
      </c>
      <c r="E6" s="20" t="s">
        <v>26</v>
      </c>
      <c r="F6" s="18" t="s">
        <v>27</v>
      </c>
      <c r="G6" s="18">
        <v>15</v>
      </c>
      <c r="H6" s="21" t="s">
        <v>24</v>
      </c>
      <c r="I6" s="20">
        <v>7</v>
      </c>
    </row>
    <row r="7" spans="1:9" ht="26" x14ac:dyDescent="0.35">
      <c r="A7" s="14" t="s">
        <v>28</v>
      </c>
      <c r="B7" s="15">
        <v>45375</v>
      </c>
      <c r="C7" s="14" t="s">
        <v>21</v>
      </c>
      <c r="D7" s="54">
        <v>2</v>
      </c>
      <c r="E7" s="16" t="s">
        <v>29</v>
      </c>
      <c r="F7" s="14" t="s">
        <v>30</v>
      </c>
      <c r="G7" s="54">
        <v>239</v>
      </c>
      <c r="H7" s="22" t="s">
        <v>31</v>
      </c>
      <c r="I7" s="16">
        <v>2</v>
      </c>
    </row>
    <row r="8" spans="1:9" ht="26" x14ac:dyDescent="0.35">
      <c r="A8" s="18" t="s">
        <v>32</v>
      </c>
      <c r="B8" s="19">
        <v>45312</v>
      </c>
      <c r="C8" s="18" t="s">
        <v>33</v>
      </c>
      <c r="D8" s="54">
        <v>2</v>
      </c>
      <c r="E8" s="20" t="s">
        <v>29</v>
      </c>
      <c r="F8" s="18" t="s">
        <v>34</v>
      </c>
      <c r="G8" s="54">
        <v>238</v>
      </c>
      <c r="H8" s="23" t="s">
        <v>31</v>
      </c>
      <c r="I8" s="20">
        <v>2</v>
      </c>
    </row>
    <row r="9" spans="1:9" x14ac:dyDescent="0.35">
      <c r="A9" s="14" t="s">
        <v>35</v>
      </c>
      <c r="B9" s="15">
        <v>45335</v>
      </c>
      <c r="C9" s="14" t="s">
        <v>36</v>
      </c>
      <c r="D9" s="55">
        <v>3</v>
      </c>
      <c r="E9" s="16" t="s">
        <v>37</v>
      </c>
      <c r="F9" s="14" t="s">
        <v>30</v>
      </c>
      <c r="G9" s="14">
        <v>86</v>
      </c>
      <c r="H9" s="17" t="s">
        <v>24</v>
      </c>
      <c r="I9" s="16">
        <v>4</v>
      </c>
    </row>
    <row r="10" spans="1:9" x14ac:dyDescent="0.35">
      <c r="A10" s="18" t="s">
        <v>38</v>
      </c>
      <c r="B10" s="19">
        <v>45297</v>
      </c>
      <c r="C10" s="18" t="s">
        <v>33</v>
      </c>
      <c r="D10" s="54">
        <v>1</v>
      </c>
      <c r="E10" s="20" t="s">
        <v>39</v>
      </c>
      <c r="F10" s="18" t="s">
        <v>23</v>
      </c>
      <c r="G10" s="54">
        <v>246</v>
      </c>
      <c r="H10" s="23" t="s">
        <v>31</v>
      </c>
      <c r="I10" s="20">
        <v>0</v>
      </c>
    </row>
    <row r="11" spans="1:9" ht="26" x14ac:dyDescent="0.35">
      <c r="A11" s="14" t="s">
        <v>40</v>
      </c>
      <c r="B11" s="15">
        <v>45362</v>
      </c>
      <c r="C11" s="14" t="s">
        <v>41</v>
      </c>
      <c r="D11" s="49">
        <v>4</v>
      </c>
      <c r="E11" s="16" t="s">
        <v>42</v>
      </c>
      <c r="F11" s="14" t="s">
        <v>34</v>
      </c>
      <c r="G11" s="14">
        <v>83</v>
      </c>
      <c r="H11" s="17" t="s">
        <v>24</v>
      </c>
      <c r="I11" s="16">
        <v>7</v>
      </c>
    </row>
    <row r="12" spans="1:9" x14ac:dyDescent="0.35">
      <c r="A12" s="18" t="s">
        <v>43</v>
      </c>
      <c r="B12" s="19">
        <v>45376</v>
      </c>
      <c r="C12" s="18" t="s">
        <v>21</v>
      </c>
      <c r="D12" s="49">
        <v>4</v>
      </c>
      <c r="E12" s="20" t="s">
        <v>44</v>
      </c>
      <c r="F12" s="18" t="s">
        <v>34</v>
      </c>
      <c r="G12" s="18">
        <v>66</v>
      </c>
      <c r="H12" s="21" t="s">
        <v>24</v>
      </c>
      <c r="I12" s="20">
        <v>7</v>
      </c>
    </row>
    <row r="13" spans="1:9" x14ac:dyDescent="0.35">
      <c r="A13" s="14" t="s">
        <v>45</v>
      </c>
      <c r="B13" s="15">
        <v>45340</v>
      </c>
      <c r="C13" s="14" t="s">
        <v>36</v>
      </c>
      <c r="D13" s="49">
        <v>5</v>
      </c>
      <c r="E13" s="16" t="s">
        <v>46</v>
      </c>
      <c r="F13" s="14" t="s">
        <v>34</v>
      </c>
      <c r="G13" s="14">
        <v>79</v>
      </c>
      <c r="H13" s="17" t="s">
        <v>24</v>
      </c>
      <c r="I13" s="16">
        <v>10</v>
      </c>
    </row>
    <row r="14" spans="1:9" ht="26" x14ac:dyDescent="0.35">
      <c r="A14" s="18" t="s">
        <v>47</v>
      </c>
      <c r="B14" s="19">
        <v>45339</v>
      </c>
      <c r="C14" s="18" t="s">
        <v>33</v>
      </c>
      <c r="D14" s="49">
        <v>4</v>
      </c>
      <c r="E14" s="20" t="s">
        <v>48</v>
      </c>
      <c r="F14" s="18" t="s">
        <v>30</v>
      </c>
      <c r="G14" s="18">
        <v>98</v>
      </c>
      <c r="H14" s="21" t="s">
        <v>24</v>
      </c>
      <c r="I14" s="20">
        <v>7</v>
      </c>
    </row>
    <row r="15" spans="1:9" x14ac:dyDescent="0.35">
      <c r="A15" s="14" t="s">
        <v>49</v>
      </c>
      <c r="B15" s="15">
        <v>45360</v>
      </c>
      <c r="C15" s="14" t="s">
        <v>21</v>
      </c>
      <c r="D15" s="49">
        <v>4</v>
      </c>
      <c r="E15" s="16" t="s">
        <v>22</v>
      </c>
      <c r="F15" s="14" t="s">
        <v>30</v>
      </c>
      <c r="G15" s="14">
        <v>70</v>
      </c>
      <c r="H15" s="17" t="s">
        <v>24</v>
      </c>
      <c r="I15" s="16">
        <v>7</v>
      </c>
    </row>
    <row r="16" spans="1:9" ht="26" x14ac:dyDescent="0.35">
      <c r="A16" s="18" t="s">
        <v>50</v>
      </c>
      <c r="B16" s="19">
        <v>45379</v>
      </c>
      <c r="C16" s="18" t="s">
        <v>33</v>
      </c>
      <c r="D16" s="55">
        <v>3</v>
      </c>
      <c r="E16" s="20" t="s">
        <v>51</v>
      </c>
      <c r="F16" s="18" t="s">
        <v>30</v>
      </c>
      <c r="G16" s="57">
        <v>143</v>
      </c>
      <c r="H16" s="21" t="s">
        <v>24</v>
      </c>
      <c r="I16" s="20">
        <v>4</v>
      </c>
    </row>
    <row r="17" spans="1:9" ht="26" x14ac:dyDescent="0.35">
      <c r="A17" s="14" t="s">
        <v>52</v>
      </c>
      <c r="B17" s="15">
        <v>45326</v>
      </c>
      <c r="C17" s="14" t="s">
        <v>33</v>
      </c>
      <c r="D17" s="49">
        <v>5</v>
      </c>
      <c r="E17" s="16" t="s">
        <v>48</v>
      </c>
      <c r="F17" s="14" t="s">
        <v>27</v>
      </c>
      <c r="G17" s="14">
        <v>24</v>
      </c>
      <c r="H17" s="17" t="s">
        <v>24</v>
      </c>
      <c r="I17" s="16">
        <v>10</v>
      </c>
    </row>
    <row r="18" spans="1:9" x14ac:dyDescent="0.35">
      <c r="A18" s="18" t="s">
        <v>53</v>
      </c>
      <c r="B18" s="19">
        <v>45375</v>
      </c>
      <c r="C18" s="18" t="s">
        <v>33</v>
      </c>
      <c r="D18" s="49">
        <v>5</v>
      </c>
      <c r="E18" s="20" t="s">
        <v>54</v>
      </c>
      <c r="F18" s="18" t="s">
        <v>30</v>
      </c>
      <c r="G18" s="57">
        <v>135</v>
      </c>
      <c r="H18" s="21" t="s">
        <v>24</v>
      </c>
      <c r="I18" s="20">
        <v>10</v>
      </c>
    </row>
    <row r="19" spans="1:9" ht="26" x14ac:dyDescent="0.35">
      <c r="A19" s="14" t="s">
        <v>55</v>
      </c>
      <c r="B19" s="15">
        <v>45325</v>
      </c>
      <c r="C19" s="14" t="s">
        <v>41</v>
      </c>
      <c r="D19" s="49">
        <v>5</v>
      </c>
      <c r="E19" s="16" t="s">
        <v>48</v>
      </c>
      <c r="F19" s="14" t="s">
        <v>30</v>
      </c>
      <c r="G19" s="14">
        <v>43</v>
      </c>
      <c r="H19" s="17" t="s">
        <v>24</v>
      </c>
      <c r="I19" s="16">
        <v>10</v>
      </c>
    </row>
    <row r="20" spans="1:9" ht="26" x14ac:dyDescent="0.35">
      <c r="A20" s="18" t="s">
        <v>56</v>
      </c>
      <c r="B20" s="19">
        <v>45366</v>
      </c>
      <c r="C20" s="18" t="s">
        <v>33</v>
      </c>
      <c r="D20" s="49">
        <v>4</v>
      </c>
      <c r="E20" s="20" t="s">
        <v>42</v>
      </c>
      <c r="F20" s="18" t="s">
        <v>27</v>
      </c>
      <c r="G20" s="18">
        <v>110</v>
      </c>
      <c r="H20" s="21" t="s">
        <v>24</v>
      </c>
      <c r="I20" s="20">
        <v>7</v>
      </c>
    </row>
    <row r="21" spans="1:9" ht="26" x14ac:dyDescent="0.35">
      <c r="A21" s="14" t="s">
        <v>57</v>
      </c>
      <c r="B21" s="15">
        <v>45303</v>
      </c>
      <c r="C21" s="14" t="s">
        <v>36</v>
      </c>
      <c r="D21" s="54">
        <v>2</v>
      </c>
      <c r="E21" s="16" t="s">
        <v>58</v>
      </c>
      <c r="F21" s="14" t="s">
        <v>27</v>
      </c>
      <c r="G21" s="14">
        <v>72</v>
      </c>
      <c r="H21" s="22" t="s">
        <v>31</v>
      </c>
      <c r="I21" s="16">
        <v>2</v>
      </c>
    </row>
    <row r="22" spans="1:9" ht="26" x14ac:dyDescent="0.35">
      <c r="A22" s="18" t="s">
        <v>59</v>
      </c>
      <c r="B22" s="19">
        <v>45368</v>
      </c>
      <c r="C22" s="18" t="s">
        <v>36</v>
      </c>
      <c r="D22" s="54">
        <v>2</v>
      </c>
      <c r="E22" s="20" t="s">
        <v>29</v>
      </c>
      <c r="F22" s="18" t="s">
        <v>27</v>
      </c>
      <c r="G22" s="18">
        <v>76</v>
      </c>
      <c r="H22" s="23" t="s">
        <v>31</v>
      </c>
      <c r="I22" s="20">
        <v>2</v>
      </c>
    </row>
    <row r="23" spans="1:9" ht="26" x14ac:dyDescent="0.35">
      <c r="A23" s="14" t="s">
        <v>60</v>
      </c>
      <c r="B23" s="15">
        <v>45362</v>
      </c>
      <c r="C23" s="14" t="s">
        <v>41</v>
      </c>
      <c r="D23" s="55">
        <v>3</v>
      </c>
      <c r="E23" s="16" t="s">
        <v>61</v>
      </c>
      <c r="F23" s="14" t="s">
        <v>23</v>
      </c>
      <c r="G23" s="14">
        <v>62</v>
      </c>
      <c r="H23" s="17" t="s">
        <v>24</v>
      </c>
      <c r="I23" s="16">
        <v>4</v>
      </c>
    </row>
    <row r="24" spans="1:9" x14ac:dyDescent="0.35">
      <c r="A24" s="18" t="s">
        <v>62</v>
      </c>
      <c r="B24" s="19">
        <v>45306</v>
      </c>
      <c r="C24" s="18" t="s">
        <v>33</v>
      </c>
      <c r="D24" s="49">
        <v>5</v>
      </c>
      <c r="E24" s="20" t="s">
        <v>54</v>
      </c>
      <c r="F24" s="18" t="s">
        <v>23</v>
      </c>
      <c r="G24" s="18">
        <v>83</v>
      </c>
      <c r="H24" s="21" t="s">
        <v>24</v>
      </c>
      <c r="I24" s="20">
        <v>10</v>
      </c>
    </row>
    <row r="25" spans="1:9" ht="26" x14ac:dyDescent="0.35">
      <c r="A25" s="14" t="s">
        <v>63</v>
      </c>
      <c r="B25" s="15">
        <v>45356</v>
      </c>
      <c r="C25" s="14" t="s">
        <v>21</v>
      </c>
      <c r="D25" s="54">
        <v>2</v>
      </c>
      <c r="E25" s="16" t="s">
        <v>58</v>
      </c>
      <c r="F25" s="14" t="s">
        <v>23</v>
      </c>
      <c r="G25" s="14">
        <v>105</v>
      </c>
      <c r="H25" s="22" t="s">
        <v>31</v>
      </c>
      <c r="I25" s="16">
        <v>2</v>
      </c>
    </row>
    <row r="26" spans="1:9" x14ac:dyDescent="0.35">
      <c r="A26" s="18" t="s">
        <v>64</v>
      </c>
      <c r="B26" s="19">
        <v>45311</v>
      </c>
      <c r="C26" s="18" t="s">
        <v>33</v>
      </c>
      <c r="D26" s="49">
        <v>5</v>
      </c>
      <c r="E26" s="20" t="s">
        <v>22</v>
      </c>
      <c r="F26" s="18" t="s">
        <v>30</v>
      </c>
      <c r="G26" s="18">
        <v>103</v>
      </c>
      <c r="H26" s="21" t="s">
        <v>24</v>
      </c>
      <c r="I26" s="20">
        <v>10</v>
      </c>
    </row>
    <row r="27" spans="1:9" x14ac:dyDescent="0.35">
      <c r="A27" s="14" t="s">
        <v>65</v>
      </c>
      <c r="B27" s="15">
        <v>45354</v>
      </c>
      <c r="C27" s="14" t="s">
        <v>21</v>
      </c>
      <c r="D27" s="49">
        <v>4</v>
      </c>
      <c r="E27" s="16" t="s">
        <v>26</v>
      </c>
      <c r="F27" s="14" t="s">
        <v>23</v>
      </c>
      <c r="G27" s="14">
        <v>12</v>
      </c>
      <c r="H27" s="17" t="s">
        <v>24</v>
      </c>
      <c r="I27" s="16">
        <v>7</v>
      </c>
    </row>
    <row r="28" spans="1:9" x14ac:dyDescent="0.35">
      <c r="A28" s="18" t="s">
        <v>66</v>
      </c>
      <c r="B28" s="19">
        <v>45299</v>
      </c>
      <c r="C28" s="18" t="s">
        <v>33</v>
      </c>
      <c r="D28" s="49">
        <v>5</v>
      </c>
      <c r="E28" s="20" t="s">
        <v>26</v>
      </c>
      <c r="F28" s="18" t="s">
        <v>30</v>
      </c>
      <c r="G28" s="18">
        <v>69</v>
      </c>
      <c r="H28" s="21" t="s">
        <v>24</v>
      </c>
      <c r="I28" s="20">
        <v>10</v>
      </c>
    </row>
    <row r="29" spans="1:9" ht="26" x14ac:dyDescent="0.35">
      <c r="A29" s="14" t="s">
        <v>67</v>
      </c>
      <c r="B29" s="15">
        <v>45360</v>
      </c>
      <c r="C29" s="14" t="s">
        <v>41</v>
      </c>
      <c r="D29" s="54">
        <v>1</v>
      </c>
      <c r="E29" s="16" t="s">
        <v>68</v>
      </c>
      <c r="F29" s="14" t="s">
        <v>34</v>
      </c>
      <c r="G29" s="14">
        <v>92</v>
      </c>
      <c r="H29" s="22" t="s">
        <v>31</v>
      </c>
      <c r="I29" s="16">
        <v>0</v>
      </c>
    </row>
    <row r="30" spans="1:9" x14ac:dyDescent="0.35">
      <c r="A30" s="18" t="s">
        <v>69</v>
      </c>
      <c r="B30" s="19">
        <v>45359</v>
      </c>
      <c r="C30" s="18" t="s">
        <v>36</v>
      </c>
      <c r="D30" s="49">
        <v>4</v>
      </c>
      <c r="E30" s="20" t="s">
        <v>54</v>
      </c>
      <c r="F30" s="18" t="s">
        <v>23</v>
      </c>
      <c r="G30" s="57">
        <v>163</v>
      </c>
      <c r="H30" s="21" t="s">
        <v>24</v>
      </c>
      <c r="I30" s="20">
        <v>7</v>
      </c>
    </row>
    <row r="31" spans="1:9" ht="26" x14ac:dyDescent="0.35">
      <c r="A31" s="14" t="s">
        <v>70</v>
      </c>
      <c r="B31" s="15">
        <v>45343</v>
      </c>
      <c r="C31" s="14" t="s">
        <v>36</v>
      </c>
      <c r="D31" s="49">
        <v>5</v>
      </c>
      <c r="E31" s="16" t="s">
        <v>42</v>
      </c>
      <c r="F31" s="14" t="s">
        <v>23</v>
      </c>
      <c r="G31" s="58">
        <v>179</v>
      </c>
      <c r="H31" s="17" t="s">
        <v>24</v>
      </c>
      <c r="I31" s="16">
        <v>10</v>
      </c>
    </row>
    <row r="32" spans="1:9" x14ac:dyDescent="0.35">
      <c r="A32" s="18" t="s">
        <v>71</v>
      </c>
      <c r="B32" s="19">
        <v>45323</v>
      </c>
      <c r="C32" s="18" t="s">
        <v>41</v>
      </c>
      <c r="D32" s="55">
        <v>3</v>
      </c>
      <c r="E32" s="20" t="s">
        <v>72</v>
      </c>
      <c r="F32" s="18" t="s">
        <v>34</v>
      </c>
      <c r="G32" s="18">
        <v>117</v>
      </c>
      <c r="H32" s="21" t="s">
        <v>24</v>
      </c>
      <c r="I32" s="20">
        <v>4</v>
      </c>
    </row>
    <row r="33" spans="1:9" ht="26" x14ac:dyDescent="0.35">
      <c r="A33" s="14" t="s">
        <v>73</v>
      </c>
      <c r="B33" s="15">
        <v>45292</v>
      </c>
      <c r="C33" s="14" t="s">
        <v>36</v>
      </c>
      <c r="D33" s="54">
        <v>1</v>
      </c>
      <c r="E33" s="16" t="s">
        <v>74</v>
      </c>
      <c r="F33" s="14" t="s">
        <v>30</v>
      </c>
      <c r="G33" s="14">
        <v>78</v>
      </c>
      <c r="H33" s="22" t="s">
        <v>31</v>
      </c>
      <c r="I33" s="16">
        <v>0</v>
      </c>
    </row>
    <row r="34" spans="1:9" x14ac:dyDescent="0.35">
      <c r="A34" s="18" t="s">
        <v>75</v>
      </c>
      <c r="B34" s="19">
        <v>45301</v>
      </c>
      <c r="C34" s="18" t="s">
        <v>21</v>
      </c>
      <c r="D34" s="54">
        <v>2</v>
      </c>
      <c r="E34" s="20" t="s">
        <v>76</v>
      </c>
      <c r="F34" s="18" t="s">
        <v>23</v>
      </c>
      <c r="G34" s="54">
        <v>191</v>
      </c>
      <c r="H34" s="23" t="s">
        <v>31</v>
      </c>
      <c r="I34" s="20">
        <v>2</v>
      </c>
    </row>
    <row r="36" spans="1:9" ht="21.75" customHeight="1" x14ac:dyDescent="0.35">
      <c r="A36" s="8" t="s">
        <v>77</v>
      </c>
      <c r="B36" s="8"/>
      <c r="C36" s="8"/>
      <c r="D36" s="8"/>
      <c r="E36" s="8"/>
      <c r="F36" s="8"/>
      <c r="G36" s="8"/>
      <c r="H36" s="8"/>
      <c r="I36" s="8"/>
    </row>
    <row r="37" spans="1:9" x14ac:dyDescent="0.35">
      <c r="A37" s="7" t="s">
        <v>78</v>
      </c>
      <c r="B37" s="7"/>
      <c r="C37" s="7"/>
      <c r="D37" s="24">
        <f>AVERAGE(D5:D34)</f>
        <v>3.4333333333333331</v>
      </c>
    </row>
    <row r="38" spans="1:9" x14ac:dyDescent="0.35">
      <c r="A38" s="7" t="s">
        <v>79</v>
      </c>
      <c r="B38" s="7"/>
      <c r="C38" s="7"/>
      <c r="D38" s="25">
        <f>IFERROR(COUNTIF(H5:H34,"Sí")/COUNTA(H5:H34),0)</f>
        <v>0.7</v>
      </c>
    </row>
    <row r="39" spans="1:9" x14ac:dyDescent="0.35">
      <c r="A39" s="7" t="s">
        <v>80</v>
      </c>
      <c r="B39" s="7"/>
      <c r="C39" s="7"/>
      <c r="D39" s="26">
        <f>AVERAGE(G5:G34)</f>
        <v>104.73333333333333</v>
      </c>
    </row>
  </sheetData>
  <mergeCells count="6">
    <mergeCell ref="A39:C39"/>
    <mergeCell ref="A1:I1"/>
    <mergeCell ref="A2:I2"/>
    <mergeCell ref="A36:I36"/>
    <mergeCell ref="A37:C37"/>
    <mergeCell ref="A38:C3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38241"/>
  </sheetPr>
  <dimension ref="A1:G19"/>
  <sheetViews>
    <sheetView zoomScaleNormal="100" workbookViewId="0">
      <pane ySplit="3" topLeftCell="A4" activePane="bottomLeft" state="frozen"/>
      <selection pane="bottomLeft" activeCell="B3" sqref="B3"/>
    </sheetView>
  </sheetViews>
  <sheetFormatPr baseColWidth="10" defaultColWidth="8.6328125" defaultRowHeight="14.5" x14ac:dyDescent="0.35"/>
  <cols>
    <col min="1" max="1" width="22" customWidth="1"/>
    <col min="2" max="2" width="20" customWidth="1"/>
    <col min="3" max="3" width="30" customWidth="1"/>
    <col min="4" max="4" width="44" customWidth="1"/>
    <col min="5" max="5" width="34" customWidth="1"/>
    <col min="6" max="6" width="44" customWidth="1"/>
    <col min="7" max="7" width="16" customWidth="1"/>
  </cols>
  <sheetData>
    <row r="1" spans="1:7" ht="21.75" customHeight="1" x14ac:dyDescent="0.35">
      <c r="A1" s="6" t="s">
        <v>227</v>
      </c>
      <c r="B1" s="6"/>
      <c r="C1" s="6"/>
      <c r="D1" s="6"/>
      <c r="E1" s="6"/>
      <c r="F1" s="6"/>
      <c r="G1" s="6"/>
    </row>
    <row r="2" spans="1:7" ht="21.75" customHeight="1" x14ac:dyDescent="0.35">
      <c r="A2" s="9" t="s">
        <v>228</v>
      </c>
      <c r="B2" s="9"/>
      <c r="C2" s="9"/>
      <c r="D2" s="9"/>
      <c r="E2" s="9"/>
      <c r="F2" s="9"/>
      <c r="G2" s="9"/>
    </row>
    <row r="3" spans="1:7" ht="31.5" customHeight="1" x14ac:dyDescent="0.35">
      <c r="A3" s="11" t="s">
        <v>81</v>
      </c>
      <c r="B3" s="12" t="s">
        <v>82</v>
      </c>
      <c r="C3" s="11" t="s">
        <v>83</v>
      </c>
      <c r="D3" s="12" t="s">
        <v>84</v>
      </c>
      <c r="E3" s="11" t="s">
        <v>85</v>
      </c>
      <c r="F3" s="12" t="s">
        <v>86</v>
      </c>
      <c r="G3" s="11" t="s">
        <v>87</v>
      </c>
    </row>
    <row r="4" spans="1:7" ht="55.5" customHeight="1" x14ac:dyDescent="0.35">
      <c r="A4" s="27" t="s">
        <v>11</v>
      </c>
      <c r="B4" s="28" t="s">
        <v>88</v>
      </c>
      <c r="C4" s="29" t="s">
        <v>89</v>
      </c>
      <c r="D4" s="29" t="s">
        <v>90</v>
      </c>
      <c r="E4" s="30" t="s">
        <v>91</v>
      </c>
      <c r="F4" s="31" t="s">
        <v>92</v>
      </c>
      <c r="G4" s="32" t="s">
        <v>93</v>
      </c>
    </row>
    <row r="5" spans="1:7" ht="55.5" customHeight="1" x14ac:dyDescent="0.35">
      <c r="A5" s="33" t="s">
        <v>12</v>
      </c>
      <c r="B5" s="34" t="s">
        <v>94</v>
      </c>
      <c r="C5" s="35" t="s">
        <v>95</v>
      </c>
      <c r="D5" s="35" t="s">
        <v>96</v>
      </c>
      <c r="E5" s="36" t="s">
        <v>97</v>
      </c>
      <c r="F5" s="37" t="s">
        <v>98</v>
      </c>
      <c r="G5" s="38" t="s">
        <v>99</v>
      </c>
    </row>
    <row r="6" spans="1:7" ht="55.5" customHeight="1" x14ac:dyDescent="0.35">
      <c r="A6" s="27" t="s">
        <v>13</v>
      </c>
      <c r="B6" s="28" t="s">
        <v>100</v>
      </c>
      <c r="C6" s="29" t="s">
        <v>101</v>
      </c>
      <c r="D6" s="29" t="s">
        <v>102</v>
      </c>
      <c r="E6" s="30" t="s">
        <v>103</v>
      </c>
      <c r="F6" s="31" t="s">
        <v>104</v>
      </c>
      <c r="G6" s="32" t="s">
        <v>105</v>
      </c>
    </row>
    <row r="7" spans="1:7" ht="55.5" customHeight="1" x14ac:dyDescent="0.35">
      <c r="A7" s="33" t="s">
        <v>14</v>
      </c>
      <c r="B7" s="34" t="s">
        <v>106</v>
      </c>
      <c r="C7" s="35" t="s">
        <v>107</v>
      </c>
      <c r="D7" s="35" t="s">
        <v>108</v>
      </c>
      <c r="E7" s="36" t="s">
        <v>109</v>
      </c>
      <c r="F7" s="37" t="s">
        <v>110</v>
      </c>
      <c r="G7" s="38" t="s">
        <v>111</v>
      </c>
    </row>
    <row r="8" spans="1:7" ht="55.5" customHeight="1" x14ac:dyDescent="0.35">
      <c r="A8" s="27" t="s">
        <v>15</v>
      </c>
      <c r="B8" s="28" t="s">
        <v>112</v>
      </c>
      <c r="C8" s="29" t="s">
        <v>113</v>
      </c>
      <c r="D8" s="29" t="s">
        <v>114</v>
      </c>
      <c r="E8" s="30" t="s">
        <v>115</v>
      </c>
      <c r="F8" s="31" t="s">
        <v>116</v>
      </c>
      <c r="G8" s="32" t="s">
        <v>117</v>
      </c>
    </row>
    <row r="9" spans="1:7" ht="55.5" customHeight="1" x14ac:dyDescent="0.35">
      <c r="A9" s="33" t="s">
        <v>16</v>
      </c>
      <c r="B9" s="34" t="s">
        <v>100</v>
      </c>
      <c r="C9" s="35" t="s">
        <v>118</v>
      </c>
      <c r="D9" s="35" t="s">
        <v>119</v>
      </c>
      <c r="E9" s="36" t="s">
        <v>120</v>
      </c>
      <c r="F9" s="37" t="s">
        <v>121</v>
      </c>
      <c r="G9" s="38" t="s">
        <v>105</v>
      </c>
    </row>
    <row r="10" spans="1:7" ht="55.5" customHeight="1" x14ac:dyDescent="0.35">
      <c r="A10" s="27" t="s">
        <v>17</v>
      </c>
      <c r="B10" s="28" t="s">
        <v>122</v>
      </c>
      <c r="C10" s="29" t="s">
        <v>123</v>
      </c>
      <c r="D10" s="29" t="s">
        <v>124</v>
      </c>
      <c r="E10" s="30" t="s">
        <v>125</v>
      </c>
      <c r="F10" s="31" t="s">
        <v>126</v>
      </c>
      <c r="G10" s="32" t="s">
        <v>111</v>
      </c>
    </row>
    <row r="11" spans="1:7" ht="55.5" customHeight="1" x14ac:dyDescent="0.35">
      <c r="A11" s="33" t="s">
        <v>18</v>
      </c>
      <c r="B11" s="34" t="s">
        <v>127</v>
      </c>
      <c r="C11" s="35" t="s">
        <v>128</v>
      </c>
      <c r="D11" s="35" t="s">
        <v>129</v>
      </c>
      <c r="E11" s="36" t="s">
        <v>130</v>
      </c>
      <c r="F11" s="37" t="s">
        <v>131</v>
      </c>
      <c r="G11" s="38" t="s">
        <v>132</v>
      </c>
    </row>
    <row r="12" spans="1:7" ht="55.5" customHeight="1" x14ac:dyDescent="0.35">
      <c r="A12" s="27" t="s">
        <v>19</v>
      </c>
      <c r="B12" s="28" t="s">
        <v>133</v>
      </c>
      <c r="C12" s="29" t="s">
        <v>134</v>
      </c>
      <c r="D12" s="29" t="s">
        <v>135</v>
      </c>
      <c r="E12" s="30" t="s">
        <v>136</v>
      </c>
      <c r="F12" s="31" t="s">
        <v>137</v>
      </c>
      <c r="G12" s="32" t="s">
        <v>138</v>
      </c>
    </row>
    <row r="14" spans="1:7" ht="21.75" customHeight="1" x14ac:dyDescent="0.35">
      <c r="A14" s="10" t="s">
        <v>139</v>
      </c>
      <c r="B14" s="10"/>
      <c r="C14" s="10"/>
      <c r="D14" s="10"/>
      <c r="E14" s="10"/>
      <c r="F14" s="10"/>
      <c r="G14" s="10"/>
    </row>
    <row r="15" spans="1:7" ht="33.75" customHeight="1" x14ac:dyDescent="0.35">
      <c r="A15" s="39" t="s">
        <v>140</v>
      </c>
      <c r="B15" s="5" t="s">
        <v>141</v>
      </c>
      <c r="C15" s="5"/>
      <c r="D15" s="5"/>
      <c r="E15" s="5"/>
      <c r="F15" s="5"/>
      <c r="G15" s="5"/>
    </row>
    <row r="16" spans="1:7" ht="33.75" customHeight="1" x14ac:dyDescent="0.35">
      <c r="A16" s="39" t="s">
        <v>142</v>
      </c>
      <c r="B16" s="5" t="s">
        <v>143</v>
      </c>
      <c r="C16" s="5"/>
      <c r="D16" s="5"/>
      <c r="E16" s="5"/>
      <c r="F16" s="5"/>
      <c r="G16" s="5"/>
    </row>
    <row r="17" spans="1:7" ht="33.75" customHeight="1" x14ac:dyDescent="0.35">
      <c r="A17" s="39" t="s">
        <v>144</v>
      </c>
      <c r="B17" s="5" t="s">
        <v>145</v>
      </c>
      <c r="C17" s="5"/>
      <c r="D17" s="5"/>
      <c r="E17" s="5"/>
      <c r="F17" s="5"/>
      <c r="G17" s="5"/>
    </row>
    <row r="18" spans="1:7" ht="33.75" customHeight="1" x14ac:dyDescent="0.35">
      <c r="A18" s="39" t="s">
        <v>146</v>
      </c>
      <c r="B18" s="5" t="s">
        <v>147</v>
      </c>
      <c r="C18" s="5"/>
      <c r="D18" s="5"/>
      <c r="E18" s="5"/>
      <c r="F18" s="5"/>
      <c r="G18" s="5"/>
    </row>
    <row r="19" spans="1:7" ht="33.75" customHeight="1" x14ac:dyDescent="0.35">
      <c r="A19" s="39" t="s">
        <v>148</v>
      </c>
      <c r="B19" s="5" t="s">
        <v>149</v>
      </c>
      <c r="C19" s="5"/>
      <c r="D19" s="5"/>
      <c r="E19" s="5"/>
      <c r="F19" s="5"/>
      <c r="G19" s="5"/>
    </row>
  </sheetData>
  <mergeCells count="8">
    <mergeCell ref="B17:G17"/>
    <mergeCell ref="B18:G18"/>
    <mergeCell ref="B19:G19"/>
    <mergeCell ref="A1:G1"/>
    <mergeCell ref="A2:G2"/>
    <mergeCell ref="A14:G14"/>
    <mergeCell ref="B15:G15"/>
    <mergeCell ref="B16:G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560A8"/>
  </sheetPr>
  <dimension ref="A1:G33"/>
  <sheetViews>
    <sheetView zoomScaleNormal="100" workbookViewId="0">
      <pane ySplit="9" topLeftCell="A11" activePane="bottomLeft" state="frozen"/>
      <selection pane="bottomLeft" activeCell="A5" sqref="A5:G7"/>
    </sheetView>
  </sheetViews>
  <sheetFormatPr baseColWidth="10" defaultColWidth="8.6328125" defaultRowHeight="14.5" x14ac:dyDescent="0.35"/>
  <cols>
    <col min="1" max="1" width="30" customWidth="1"/>
    <col min="2" max="4" width="18" customWidth="1"/>
    <col min="5" max="7" width="22" customWidth="1"/>
  </cols>
  <sheetData>
    <row r="1" spans="1:7" ht="21.75" customHeight="1" x14ac:dyDescent="0.35">
      <c r="A1" s="8" t="s">
        <v>150</v>
      </c>
      <c r="B1" s="8"/>
      <c r="C1" s="8"/>
      <c r="D1" s="8"/>
      <c r="E1" s="8"/>
      <c r="F1" s="8"/>
      <c r="G1" s="8"/>
    </row>
    <row r="2" spans="1:7" ht="21.75" customHeight="1" x14ac:dyDescent="0.35">
      <c r="A2" s="4" t="s">
        <v>151</v>
      </c>
      <c r="B2" s="4"/>
      <c r="C2" s="4"/>
      <c r="D2" s="4"/>
      <c r="E2" s="4"/>
      <c r="F2" s="4"/>
      <c r="G2" s="4"/>
    </row>
    <row r="4" spans="1:7" ht="27.75" customHeight="1" x14ac:dyDescent="0.35">
      <c r="A4" s="7" t="s">
        <v>152</v>
      </c>
      <c r="B4" s="7"/>
      <c r="C4" s="7"/>
      <c r="D4" s="7"/>
      <c r="E4" s="7"/>
      <c r="F4" s="7"/>
      <c r="G4" s="7"/>
    </row>
    <row r="5" spans="1:7" ht="27.75" customHeight="1" x14ac:dyDescent="0.35">
      <c r="A5" s="3"/>
      <c r="B5" s="3"/>
      <c r="C5" s="3"/>
      <c r="D5" s="3"/>
      <c r="E5" s="3"/>
      <c r="F5" s="3"/>
      <c r="G5" s="3"/>
    </row>
    <row r="6" spans="1:7" ht="27.75" customHeight="1" x14ac:dyDescent="0.35">
      <c r="A6" s="3"/>
      <c r="B6" s="3"/>
      <c r="C6" s="3"/>
      <c r="D6" s="3"/>
      <c r="E6" s="3"/>
      <c r="F6" s="3"/>
      <c r="G6" s="3"/>
    </row>
    <row r="7" spans="1:7" ht="27.75" customHeight="1" x14ac:dyDescent="0.35">
      <c r="A7" s="3"/>
      <c r="B7" s="3"/>
      <c r="C7" s="3"/>
      <c r="D7" s="3"/>
      <c r="E7" s="3"/>
      <c r="F7" s="3"/>
      <c r="G7" s="3"/>
    </row>
    <row r="9" spans="1:7" ht="30" customHeight="1" x14ac:dyDescent="0.35">
      <c r="A9" s="11" t="s">
        <v>153</v>
      </c>
      <c r="B9" s="12" t="s">
        <v>154</v>
      </c>
      <c r="C9" s="11" t="s">
        <v>155</v>
      </c>
      <c r="D9" s="12" t="s">
        <v>156</v>
      </c>
      <c r="E9" s="11" t="s">
        <v>157</v>
      </c>
      <c r="F9" s="12" t="s">
        <v>158</v>
      </c>
      <c r="G9" s="11" t="s">
        <v>159</v>
      </c>
    </row>
    <row r="10" spans="1:7" ht="42" customHeight="1" x14ac:dyDescent="0.35">
      <c r="A10" s="40" t="s">
        <v>160</v>
      </c>
      <c r="B10" s="41"/>
      <c r="C10" s="41"/>
      <c r="D10" s="41"/>
      <c r="E10" s="41"/>
      <c r="F10" s="41"/>
      <c r="G10" s="42"/>
    </row>
    <row r="11" spans="1:7" ht="42" customHeight="1" x14ac:dyDescent="0.35">
      <c r="A11" s="40" t="s">
        <v>161</v>
      </c>
      <c r="B11" s="43"/>
      <c r="C11" s="43"/>
      <c r="D11" s="43"/>
      <c r="E11" s="43"/>
      <c r="F11" s="43"/>
      <c r="G11" s="42"/>
    </row>
    <row r="12" spans="1:7" ht="42" customHeight="1" x14ac:dyDescent="0.35">
      <c r="A12" s="40" t="s">
        <v>162</v>
      </c>
      <c r="B12" s="41"/>
      <c r="C12" s="41"/>
      <c r="D12" s="41"/>
      <c r="E12" s="41"/>
      <c r="F12" s="41"/>
      <c r="G12" s="42"/>
    </row>
    <row r="13" spans="1:7" ht="42" customHeight="1" x14ac:dyDescent="0.35">
      <c r="A13" s="40" t="s">
        <v>163</v>
      </c>
      <c r="B13" s="43"/>
      <c r="C13" s="43"/>
      <c r="D13" s="43"/>
      <c r="E13" s="43"/>
      <c r="F13" s="43"/>
      <c r="G13" s="42"/>
    </row>
    <row r="14" spans="1:7" ht="42" customHeight="1" x14ac:dyDescent="0.35">
      <c r="A14" s="40" t="s">
        <v>164</v>
      </c>
      <c r="B14" s="41"/>
      <c r="C14" s="41"/>
      <c r="D14" s="41"/>
      <c r="E14" s="41"/>
      <c r="F14" s="41"/>
      <c r="G14" s="42"/>
    </row>
    <row r="15" spans="1:7" ht="42" customHeight="1" x14ac:dyDescent="0.35">
      <c r="A15" s="40" t="s">
        <v>165</v>
      </c>
      <c r="B15" s="43"/>
      <c r="C15" s="43"/>
      <c r="D15" s="43"/>
      <c r="E15" s="43"/>
      <c r="F15" s="43"/>
      <c r="G15" s="42"/>
    </row>
    <row r="16" spans="1:7" ht="42" customHeight="1" x14ac:dyDescent="0.35">
      <c r="A16" s="40" t="s">
        <v>166</v>
      </c>
      <c r="B16" s="41"/>
      <c r="C16" s="41"/>
      <c r="D16" s="41"/>
      <c r="E16" s="41"/>
      <c r="F16" s="41"/>
      <c r="G16" s="42"/>
    </row>
    <row r="17" spans="1:7" ht="42" customHeight="1" x14ac:dyDescent="0.35">
      <c r="A17" s="40" t="s">
        <v>167</v>
      </c>
      <c r="B17" s="43"/>
      <c r="C17" s="43"/>
      <c r="D17" s="43"/>
      <c r="E17" s="43"/>
      <c r="F17" s="43"/>
      <c r="G17" s="42"/>
    </row>
    <row r="19" spans="1:7" ht="21.75" customHeight="1" x14ac:dyDescent="0.35">
      <c r="A19" s="6" t="s">
        <v>168</v>
      </c>
      <c r="B19" s="6"/>
      <c r="C19" s="6"/>
      <c r="D19" s="6"/>
      <c r="E19" s="6"/>
      <c r="F19" s="6"/>
      <c r="G19" s="6"/>
    </row>
    <row r="20" spans="1:7" ht="27.75" customHeight="1" x14ac:dyDescent="0.35">
      <c r="A20" s="2" t="s">
        <v>169</v>
      </c>
      <c r="B20" s="2"/>
      <c r="C20" s="2"/>
      <c r="D20" s="2"/>
      <c r="E20" s="2"/>
      <c r="F20" s="2"/>
      <c r="G20" s="2"/>
    </row>
    <row r="21" spans="1:7" ht="27.75" customHeight="1" x14ac:dyDescent="0.35">
      <c r="A21" s="2"/>
      <c r="B21" s="2"/>
      <c r="C21" s="2"/>
      <c r="D21" s="2"/>
      <c r="E21" s="2"/>
      <c r="F21" s="2"/>
      <c r="G21" s="2"/>
    </row>
    <row r="22" spans="1:7" ht="27.75" customHeight="1" x14ac:dyDescent="0.35">
      <c r="A22" s="2"/>
      <c r="B22" s="2"/>
      <c r="C22" s="2"/>
      <c r="D22" s="2"/>
      <c r="E22" s="2"/>
      <c r="F22" s="2"/>
      <c r="G22" s="2"/>
    </row>
    <row r="23" spans="1:7" ht="27.75" customHeight="1" x14ac:dyDescent="0.35">
      <c r="A23" s="2"/>
      <c r="B23" s="2"/>
      <c r="C23" s="2"/>
      <c r="D23" s="2"/>
      <c r="E23" s="2"/>
      <c r="F23" s="2"/>
      <c r="G23" s="2"/>
    </row>
    <row r="25" spans="1:7" ht="21.75" customHeight="1" x14ac:dyDescent="0.35">
      <c r="A25" s="10" t="s">
        <v>170</v>
      </c>
      <c r="B25" s="10"/>
      <c r="C25" s="10"/>
      <c r="D25" s="10"/>
      <c r="E25" s="10"/>
      <c r="F25" s="10"/>
      <c r="G25" s="10"/>
    </row>
    <row r="26" spans="1:7" x14ac:dyDescent="0.35">
      <c r="A26" s="11" t="s">
        <v>171</v>
      </c>
      <c r="B26" s="12" t="s">
        <v>172</v>
      </c>
      <c r="C26" s="11" t="s">
        <v>173</v>
      </c>
      <c r="D26" s="12" t="s">
        <v>174</v>
      </c>
      <c r="E26" s="11" t="s">
        <v>175</v>
      </c>
    </row>
    <row r="27" spans="1:7" ht="21.75" customHeight="1" x14ac:dyDescent="0.35">
      <c r="A27" s="44" t="s">
        <v>176</v>
      </c>
      <c r="B27" s="45"/>
      <c r="C27" s="45"/>
      <c r="D27" s="45"/>
      <c r="E27" s="46"/>
    </row>
    <row r="28" spans="1:7" ht="21.75" customHeight="1" x14ac:dyDescent="0.35">
      <c r="A28" s="44" t="s">
        <v>177</v>
      </c>
      <c r="B28" s="47"/>
      <c r="C28" s="47"/>
      <c r="D28" s="47"/>
      <c r="E28" s="46"/>
    </row>
    <row r="29" spans="1:7" ht="21.75" customHeight="1" x14ac:dyDescent="0.35">
      <c r="A29" s="44" t="s">
        <v>178</v>
      </c>
      <c r="B29" s="45"/>
      <c r="C29" s="45"/>
      <c r="D29" s="45"/>
      <c r="E29" s="46"/>
    </row>
    <row r="30" spans="1:7" ht="21.75" customHeight="1" x14ac:dyDescent="0.35">
      <c r="A30" s="44" t="s">
        <v>179</v>
      </c>
      <c r="B30" s="47"/>
      <c r="C30" s="47"/>
      <c r="D30" s="47"/>
      <c r="E30" s="46"/>
    </row>
    <row r="31" spans="1:7" ht="21.75" customHeight="1" x14ac:dyDescent="0.35">
      <c r="A31" s="44" t="s">
        <v>180</v>
      </c>
      <c r="B31" s="45"/>
      <c r="C31" s="45"/>
      <c r="D31" s="45"/>
      <c r="E31" s="46"/>
    </row>
    <row r="32" spans="1:7" ht="21.75" customHeight="1" x14ac:dyDescent="0.35">
      <c r="A32" s="44" t="s">
        <v>181</v>
      </c>
      <c r="B32" s="47"/>
      <c r="C32" s="47"/>
      <c r="D32" s="47"/>
      <c r="E32" s="46"/>
    </row>
    <row r="33" spans="1:5" ht="21.75" customHeight="1" x14ac:dyDescent="0.35">
      <c r="A33" s="48" t="s">
        <v>182</v>
      </c>
      <c r="B33" s="49">
        <f>SUM(B27:B32)</f>
        <v>0</v>
      </c>
      <c r="C33" s="49">
        <f>SUM(C27:C32)</f>
        <v>0</v>
      </c>
      <c r="D33" s="49">
        <f>SUM(D27:D32)</f>
        <v>0</v>
      </c>
      <c r="E33" s="49">
        <f>SUM(E27:E32)</f>
        <v>0</v>
      </c>
    </row>
  </sheetData>
  <mergeCells count="7">
    <mergeCell ref="A20:G23"/>
    <mergeCell ref="A25:G25"/>
    <mergeCell ref="A1:G1"/>
    <mergeCell ref="A2:G2"/>
    <mergeCell ref="A4:G4"/>
    <mergeCell ref="A5:G7"/>
    <mergeCell ref="A19:G1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88888"/>
  </sheetPr>
  <dimension ref="A1:F11"/>
  <sheetViews>
    <sheetView tabSelected="1" zoomScaleNormal="100" workbookViewId="0">
      <selection sqref="A1:F1"/>
    </sheetView>
  </sheetViews>
  <sheetFormatPr baseColWidth="10" defaultColWidth="8.6328125" defaultRowHeight="14.5" x14ac:dyDescent="0.35"/>
  <cols>
    <col min="1" max="1" width="28" customWidth="1"/>
    <col min="2" max="2" width="22" customWidth="1"/>
    <col min="3" max="3" width="50" customWidth="1"/>
    <col min="4" max="4" width="40" customWidth="1"/>
    <col min="5" max="5" width="46" customWidth="1"/>
    <col min="6" max="6" width="44" customWidth="1"/>
  </cols>
  <sheetData>
    <row r="1" spans="1:6" ht="21.75" customHeight="1" x14ac:dyDescent="0.35">
      <c r="A1" s="10" t="s">
        <v>183</v>
      </c>
      <c r="B1" s="10"/>
      <c r="C1" s="10"/>
      <c r="D1" s="10"/>
      <c r="E1" s="10"/>
      <c r="F1" s="10"/>
    </row>
    <row r="2" spans="1:6" ht="21.75" customHeight="1" x14ac:dyDescent="0.35">
      <c r="A2" s="9" t="s">
        <v>184</v>
      </c>
      <c r="B2" s="9"/>
      <c r="C2" s="9"/>
      <c r="D2" s="9"/>
      <c r="E2" s="9"/>
      <c r="F2" s="9"/>
    </row>
    <row r="3" spans="1:6" ht="27.75" customHeight="1" x14ac:dyDescent="0.35">
      <c r="A3" s="11" t="s">
        <v>185</v>
      </c>
      <c r="B3" s="12" t="s">
        <v>186</v>
      </c>
      <c r="C3" s="11" t="s">
        <v>187</v>
      </c>
      <c r="D3" s="12" t="s">
        <v>188</v>
      </c>
      <c r="E3" s="11" t="s">
        <v>189</v>
      </c>
      <c r="F3" s="12" t="s">
        <v>190</v>
      </c>
    </row>
    <row r="4" spans="1:6" ht="63.75" customHeight="1" x14ac:dyDescent="0.35">
      <c r="A4" s="27" t="s">
        <v>191</v>
      </c>
      <c r="B4" s="29" t="s">
        <v>192</v>
      </c>
      <c r="C4" s="50" t="s">
        <v>193</v>
      </c>
      <c r="D4" s="29" t="s">
        <v>194</v>
      </c>
      <c r="E4" s="29" t="s">
        <v>195</v>
      </c>
      <c r="F4" s="51" t="s">
        <v>196</v>
      </c>
    </row>
    <row r="5" spans="1:6" ht="63.75" customHeight="1" x14ac:dyDescent="0.35">
      <c r="A5" s="33" t="s">
        <v>197</v>
      </c>
      <c r="B5" s="35" t="s">
        <v>198</v>
      </c>
      <c r="C5" s="52" t="s">
        <v>199</v>
      </c>
      <c r="D5" s="35" t="s">
        <v>200</v>
      </c>
      <c r="E5" s="35" t="s">
        <v>201</v>
      </c>
      <c r="F5" s="53" t="s">
        <v>202</v>
      </c>
    </row>
    <row r="6" spans="1:6" ht="63.75" customHeight="1" x14ac:dyDescent="0.35">
      <c r="A6" s="27" t="s">
        <v>203</v>
      </c>
      <c r="B6" s="29" t="s">
        <v>204</v>
      </c>
      <c r="C6" s="50" t="s">
        <v>205</v>
      </c>
      <c r="D6" s="29" t="s">
        <v>206</v>
      </c>
      <c r="E6" s="29" t="s">
        <v>207</v>
      </c>
      <c r="F6" s="51" t="s">
        <v>208</v>
      </c>
    </row>
    <row r="7" spans="1:6" ht="63.75" customHeight="1" x14ac:dyDescent="0.35">
      <c r="A7" s="33" t="s">
        <v>209</v>
      </c>
      <c r="B7" s="35" t="s">
        <v>210</v>
      </c>
      <c r="C7" s="52" t="s">
        <v>211</v>
      </c>
      <c r="D7" s="35" t="s">
        <v>212</v>
      </c>
      <c r="E7" s="35" t="s">
        <v>213</v>
      </c>
      <c r="F7" s="53" t="s">
        <v>214</v>
      </c>
    </row>
    <row r="8" spans="1:6" ht="63.75" customHeight="1" x14ac:dyDescent="0.35">
      <c r="A8" s="27" t="s">
        <v>215</v>
      </c>
      <c r="B8" s="29" t="s">
        <v>216</v>
      </c>
      <c r="C8" s="50" t="s">
        <v>217</v>
      </c>
      <c r="D8" s="29" t="s">
        <v>218</v>
      </c>
      <c r="E8" s="29" t="s">
        <v>219</v>
      </c>
      <c r="F8" s="51" t="s">
        <v>220</v>
      </c>
    </row>
    <row r="9" spans="1:6" ht="63.75" customHeight="1" x14ac:dyDescent="0.35">
      <c r="A9" s="33" t="s">
        <v>221</v>
      </c>
      <c r="B9" s="35" t="s">
        <v>216</v>
      </c>
      <c r="C9" s="52" t="s">
        <v>222</v>
      </c>
      <c r="D9" s="35" t="s">
        <v>223</v>
      </c>
      <c r="E9" s="35" t="s">
        <v>224</v>
      </c>
      <c r="F9" s="53" t="s">
        <v>225</v>
      </c>
    </row>
    <row r="11" spans="1:6" ht="21.75" customHeight="1" x14ac:dyDescent="0.35">
      <c r="A11" s="1" t="s">
        <v>226</v>
      </c>
      <c r="B11" s="1"/>
      <c r="C11" s="1"/>
      <c r="D11" s="1"/>
      <c r="E11" s="1"/>
      <c r="F11" s="1"/>
    </row>
  </sheetData>
  <mergeCells count="3">
    <mergeCell ref="A1:F1"/>
    <mergeCell ref="A2:F2"/>
    <mergeCell ref="A11:F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satisfaccion_clientes</vt:lpstr>
      <vt:lpstr>diccionario_datos</vt:lpstr>
      <vt:lpstr>tabla_self_consistency</vt:lpstr>
      <vt:lpstr>datasets_libre_acceso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Edwin Alexander Puertas Del Castillo</cp:lastModifiedBy>
  <cp:revision>0</cp:revision>
  <dcterms:created xsi:type="dcterms:W3CDTF">2026-04-27T18:50:38Z</dcterms:created>
  <dcterms:modified xsi:type="dcterms:W3CDTF">2026-04-27T19:42:34Z</dcterms:modified>
  <dc:language>en-US</dc:language>
</cp:coreProperties>
</file>